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пчасти" sheetId="1" r:id="rId5"/>
    <sheet state="visible" name="Сводка" sheetId="2" r:id="rId6"/>
    <sheet state="visible" name="Как пользоваться" sheetId="3" r:id="rId7"/>
    <sheet state="visible" name="Заказы" sheetId="4" r:id="rId8"/>
  </sheets>
  <definedNames>
    <definedName hidden="1" localSheetId="0" name="_xlnm._FilterDatabase">'Запчасти'!$A$1:$P$503</definedName>
  </definedNames>
  <calcPr/>
</workbook>
</file>

<file path=xl/sharedStrings.xml><?xml version="1.0" encoding="utf-8"?>
<sst xmlns="http://schemas.openxmlformats.org/spreadsheetml/2006/main" count="1517" uniqueCount="714">
  <si>
    <t>Артикул</t>
  </si>
  <si>
    <t>КРАТКАЯ ИНСТРУКЦИЯ</t>
  </si>
  <si>
    <t>СВОДКА ПО СКЛАДУ И ПРОДАЖАМ</t>
  </si>
  <si>
    <t>Номер заказа</t>
  </si>
  <si>
    <t>Наименование</t>
  </si>
  <si>
    <t>Производитель</t>
  </si>
  <si>
    <t>Подходит к авто</t>
  </si>
  <si>
    <t>Дата и время</t>
  </si>
  <si>
    <t>Телефон покупателя</t>
  </si>
  <si>
    <t>Категория</t>
  </si>
  <si>
    <t>Позиций</t>
  </si>
  <si>
    <t>Дата поступления</t>
  </si>
  <si>
    <t>Итого, ₸</t>
  </si>
  <si>
    <t>Закупочная цена</t>
  </si>
  <si>
    <t>Состав</t>
  </si>
  <si>
    <t>Вносите каждую запчасть отдельной строкой на вкладке «Запчасти».</t>
  </si>
  <si>
    <t>Цена продажи</t>
  </si>
  <si>
    <t>Состав (читаемо)</t>
  </si>
  <si>
    <t>Поступило</t>
  </si>
  <si>
    <t>Статус</t>
  </si>
  <si>
    <t>Продано</t>
  </si>
  <si>
    <t>Предложено за заказ, ₸</t>
  </si>
  <si>
    <t>Остаток</t>
  </si>
  <si>
    <t>Итого по прайсу, ₸</t>
  </si>
  <si>
    <t>Показатель</t>
  </si>
  <si>
    <t>Комментарий</t>
  </si>
  <si>
    <t>2</t>
  </si>
  <si>
    <t>Всего на сумму</t>
  </si>
  <si>
    <t>ШКВ-0001</t>
  </si>
  <si>
    <t>Заполняйте артикул, название, производителя, автомобиль, цены и количество.</t>
  </si>
  <si>
    <t>2026-09-21T15:18:51+05:00</t>
  </si>
  <si>
    <t>3</t>
  </si>
  <si>
    <t>87476108458</t>
  </si>
  <si>
    <t>В колонке «Продано» указывайте, сколько единиц уже продано.</t>
  </si>
  <si>
    <t>Значение</t>
  </si>
  <si>
    <t>Выручка</t>
  </si>
  <si>
    <t>4</t>
  </si>
  <si>
    <t>Себестоимость проданного</t>
  </si>
  <si>
    <t>1</t>
  </si>
  <si>
    <t>«Остаток», «Выручка», «Себестоимость проданного» и «Прибыль» считаются автоматически.</t>
  </si>
  <si>
    <t>600</t>
  </si>
  <si>
    <t>Прибыль</t>
  </si>
  <si>
    <t>6x2</t>
  </si>
  <si>
    <t>5</t>
  </si>
  <si>
    <t>Всего позиций</t>
  </si>
  <si>
    <t>Болт генератора, 2 шт × 300 ₸ = 600 ₸</t>
  </si>
  <si>
    <t>Вкладка «Сводка» показывает общие показатели по складу.</t>
  </si>
  <si>
    <t>новый</t>
  </si>
  <si>
    <t>ID</t>
  </si>
  <si>
    <t>6</t>
  </si>
  <si>
    <t>ШКВ-0002</t>
  </si>
  <si>
    <t>Файл можно загрузить в Google Таблицы и работать с ним с телефона и ноутбука.</t>
  </si>
  <si>
    <t>2026-09-22T15:19:50+05:00</t>
  </si>
  <si>
    <t xml:space="preserve"> шланг Тормозной  длинный</t>
  </si>
  <si>
    <t>УАЗ</t>
  </si>
  <si>
    <t>1000</t>
  </si>
  <si>
    <t>1x1</t>
  </si>
  <si>
    <t>Р4-3706 020 — Бегунок трамблёра, 1 шт × 1 000 ₸ = 1 000 ₸</t>
  </si>
  <si>
    <t>ШКВ-0003</t>
  </si>
  <si>
    <t>2026-09-23T12:52:32+05:00</t>
  </si>
  <si>
    <t>+77476108458</t>
  </si>
  <si>
    <t>15000</t>
  </si>
  <si>
    <t>241x1; 149x2; 1x3</t>
  </si>
  <si>
    <t>Трапеция привода дворников, 1 шт × 6 000 ₸ = 6 000 ₸
40x80x18 — Подшипник в раздатку 6208, 2 шт × 3 000 ₸ = 6 000 ₸
Р4-3706 020 — Бегунок трамблёра, 3 шт × 1 000 ₸ = 3 000 ₸</t>
  </si>
  <si>
    <t/>
  </si>
  <si>
    <t>чек чек</t>
  </si>
  <si>
    <t>ШКВ-0004</t>
  </si>
  <si>
    <t>2026-09-23T16:25:38+05:00</t>
  </si>
  <si>
    <t>Тормоза</t>
  </si>
  <si>
    <t>990</t>
  </si>
  <si>
    <t>2x1@300</t>
  </si>
  <si>
    <t>Блок управления отопителем, 1 шт × 5 000 ₸ = 5 000 ₸ (предложено: 300 ₸/шт = 300 ₸)</t>
  </si>
  <si>
    <t>5000</t>
  </si>
  <si>
    <t>Всего единиц на остатке</t>
  </si>
  <si>
    <t>Всего товаров на сумму</t>
  </si>
  <si>
    <t>Это в Долларах</t>
  </si>
  <si>
    <t>Р4-3706 020</t>
  </si>
  <si>
    <t>Бегунок трамблёра</t>
  </si>
  <si>
    <t>ГАЗ</t>
  </si>
  <si>
    <t>Двигатель</t>
  </si>
  <si>
    <t xml:space="preserve">Блок управления отопителем </t>
  </si>
  <si>
    <t>Газель</t>
  </si>
  <si>
    <t>Другое</t>
  </si>
  <si>
    <t>Блок шестерен заднего хода</t>
  </si>
  <si>
    <t>Подвеска</t>
  </si>
  <si>
    <t>Блок шестерен КПП</t>
  </si>
  <si>
    <t>ГАЗ 53</t>
  </si>
  <si>
    <t>Болт генератора</t>
  </si>
  <si>
    <t>УАЗ/ ГАЗ</t>
  </si>
  <si>
    <t>7</t>
  </si>
  <si>
    <t xml:space="preserve">Болт главной пары </t>
  </si>
  <si>
    <t>8</t>
  </si>
  <si>
    <t>Болт кардана с гайкой, шайбой</t>
  </si>
  <si>
    <t>Уаз</t>
  </si>
  <si>
    <t>9</t>
  </si>
  <si>
    <t>M10x1x35</t>
  </si>
  <si>
    <t>Болт картера моста</t>
  </si>
  <si>
    <t>10</t>
  </si>
  <si>
    <t>M10x25</t>
  </si>
  <si>
    <t>Болт крепления полуоси</t>
  </si>
  <si>
    <t>11</t>
  </si>
  <si>
    <t>66-1007075-02</t>
  </si>
  <si>
    <t>Болт с гайкой для регулировки карамысла</t>
  </si>
  <si>
    <t>12</t>
  </si>
  <si>
    <t>Болт эксцентриковый для регулировки передних колодок</t>
  </si>
  <si>
    <t>13</t>
  </si>
  <si>
    <t>Болт m10x1.25x33.5</t>
  </si>
  <si>
    <t>14</t>
  </si>
  <si>
    <t>Вал вторичный</t>
  </si>
  <si>
    <t>15</t>
  </si>
  <si>
    <t>Вал муфты механизма переключения передач</t>
  </si>
  <si>
    <t>16</t>
  </si>
  <si>
    <t>Вал привода заднего моста РК</t>
  </si>
  <si>
    <t>17</t>
  </si>
  <si>
    <t>Вал привода переднего моста выходной вал раздатки</t>
  </si>
  <si>
    <t>18</t>
  </si>
  <si>
    <t>Вал промежуточный</t>
  </si>
  <si>
    <t>19</t>
  </si>
  <si>
    <t>21А1005125</t>
  </si>
  <si>
    <t>Венец маховика</t>
  </si>
  <si>
    <t>20</t>
  </si>
  <si>
    <t xml:space="preserve">Вентилятор охлаждения </t>
  </si>
  <si>
    <t>21</t>
  </si>
  <si>
    <t>Вилка КПП</t>
  </si>
  <si>
    <t>22</t>
  </si>
  <si>
    <t>Вилка КПП 1й-2й передачи с/о</t>
  </si>
  <si>
    <t>23</t>
  </si>
  <si>
    <t>СТ2303708020</t>
  </si>
  <si>
    <t>Вилка стартера</t>
  </si>
  <si>
    <t>24</t>
  </si>
  <si>
    <t xml:space="preserve">Вилка ШРУСа </t>
  </si>
  <si>
    <t>25</t>
  </si>
  <si>
    <t>Вкладыш шкворня</t>
  </si>
  <si>
    <t>26</t>
  </si>
  <si>
    <t>Вкладыши коренные 0.50</t>
  </si>
  <si>
    <t>УАЗ/ГАЗ</t>
  </si>
  <si>
    <t>27</t>
  </si>
  <si>
    <t>Вкладыши шатунные 0.25</t>
  </si>
  <si>
    <t>28</t>
  </si>
  <si>
    <t>Вкладыши шатунные 0.75</t>
  </si>
  <si>
    <t>29</t>
  </si>
  <si>
    <t>Вторичный вал</t>
  </si>
  <si>
    <t>30</t>
  </si>
  <si>
    <t>Вторичный вал КПП</t>
  </si>
  <si>
    <t>31</t>
  </si>
  <si>
    <t>Втулка шатуна</t>
  </si>
  <si>
    <t>32</t>
  </si>
  <si>
    <t xml:space="preserve">Выключатель массы </t>
  </si>
  <si>
    <t>Электрика</t>
  </si>
  <si>
    <t>33</t>
  </si>
  <si>
    <t>Высоковольтные провода (комплект)</t>
  </si>
  <si>
    <t>34</t>
  </si>
  <si>
    <t>Высоковольтный провод (длинный)</t>
  </si>
  <si>
    <t>35</t>
  </si>
  <si>
    <t>Высоковольтный провод (короткий)</t>
  </si>
  <si>
    <t>36</t>
  </si>
  <si>
    <t>Гайка колёсная ГАЗ 53</t>
  </si>
  <si>
    <t>37</t>
  </si>
  <si>
    <t>Гайка регулирования лапки сцепления</t>
  </si>
  <si>
    <t>38</t>
  </si>
  <si>
    <t>M12x1.25x10</t>
  </si>
  <si>
    <t>Гайка стойки стабилизатора</t>
  </si>
  <si>
    <t>39</t>
  </si>
  <si>
    <t>Гайка фланца раздаточной коробки</t>
  </si>
  <si>
    <t>40</t>
  </si>
  <si>
    <t xml:space="preserve">Гитара </t>
  </si>
  <si>
    <t>41</t>
  </si>
  <si>
    <t>ГУР</t>
  </si>
  <si>
    <t>42</t>
  </si>
  <si>
    <t>Датчик электронного спидометра</t>
  </si>
  <si>
    <t>УАЗ/ ВАЗ</t>
  </si>
  <si>
    <t>43</t>
  </si>
  <si>
    <t>Диск АБС</t>
  </si>
  <si>
    <t>44</t>
  </si>
  <si>
    <t>Дисковые колодки тормозные</t>
  </si>
  <si>
    <t>УАЗ Буханка</t>
  </si>
  <si>
    <t>45</t>
  </si>
  <si>
    <t>Дифференциал с главной парой</t>
  </si>
  <si>
    <t>46</t>
  </si>
  <si>
    <t xml:space="preserve">Дополнительный насос отопителя </t>
  </si>
  <si>
    <t>47</t>
  </si>
  <si>
    <t>Жидкость тормозная</t>
  </si>
  <si>
    <t>ВСЕ</t>
  </si>
  <si>
    <t>Расходники</t>
  </si>
  <si>
    <t>48</t>
  </si>
  <si>
    <t xml:space="preserve">Задние тормозные колодки </t>
  </si>
  <si>
    <t>49</t>
  </si>
  <si>
    <t>Задний тормозной барабан</t>
  </si>
  <si>
    <t>50</t>
  </si>
  <si>
    <t>Задний тормозной цилиндр 25мм</t>
  </si>
  <si>
    <t>51</t>
  </si>
  <si>
    <t>Задний тормозной цилиндр 32мм</t>
  </si>
  <si>
    <t>52</t>
  </si>
  <si>
    <t>Задняя печка патриот</t>
  </si>
  <si>
    <t>53</t>
  </si>
  <si>
    <t>К126Г</t>
  </si>
  <si>
    <t>Карбюратор</t>
  </si>
  <si>
    <t>54</t>
  </si>
  <si>
    <t>Карбюратор Газель</t>
  </si>
  <si>
    <t>55</t>
  </si>
  <si>
    <t xml:space="preserve">Катафот задний </t>
  </si>
  <si>
    <t>Кузов</t>
  </si>
  <si>
    <t>56</t>
  </si>
  <si>
    <t>Клапан вакуумный обратный</t>
  </si>
  <si>
    <t>57</t>
  </si>
  <si>
    <t>Клапан ГБЦ</t>
  </si>
  <si>
    <t>58</t>
  </si>
  <si>
    <t>Клипса-пистон для обшивки</t>
  </si>
  <si>
    <t>59</t>
  </si>
  <si>
    <t>66-1601015-11</t>
  </si>
  <si>
    <t xml:space="preserve">Колокол сцепления </t>
  </si>
  <si>
    <t>60</t>
  </si>
  <si>
    <t>0469-00-1602558-00</t>
  </si>
  <si>
    <t>Колпачок защитный ГЦС</t>
  </si>
  <si>
    <t>61</t>
  </si>
  <si>
    <t>24-10-1602528</t>
  </si>
  <si>
    <t xml:space="preserve">ГАЗ </t>
  </si>
  <si>
    <t>62</t>
  </si>
  <si>
    <t>Колпачок защитный на крышку кпп</t>
  </si>
  <si>
    <t>63</t>
  </si>
  <si>
    <t>Кольцо синхронизатора н/о</t>
  </si>
  <si>
    <t>64</t>
  </si>
  <si>
    <t>Кольцо синхронизатора с/о</t>
  </si>
  <si>
    <t>65</t>
  </si>
  <si>
    <t>Кольцо упорное ступицы колеса</t>
  </si>
  <si>
    <t>66</t>
  </si>
  <si>
    <t>Комплект прокладок впускного коллектора</t>
  </si>
  <si>
    <t>67</t>
  </si>
  <si>
    <t>Комплект прокладок КПП 452</t>
  </si>
  <si>
    <t>68</t>
  </si>
  <si>
    <t>Комплект прокладок масляного поддона ЗМЗ 417</t>
  </si>
  <si>
    <t>69</t>
  </si>
  <si>
    <t>Комплект прокладок моста</t>
  </si>
  <si>
    <t>70</t>
  </si>
  <si>
    <t>Комплект прокладок на ЗМЗ 417</t>
  </si>
  <si>
    <t>71</t>
  </si>
  <si>
    <t xml:space="preserve">Комплект прокладок на РК </t>
  </si>
  <si>
    <t>72</t>
  </si>
  <si>
    <t>Комплект прокладок УМЗ 4178</t>
  </si>
  <si>
    <t>73</t>
  </si>
  <si>
    <t xml:space="preserve">Комплект уплотнительных колец </t>
  </si>
  <si>
    <t>74</t>
  </si>
  <si>
    <t>Комплект эксцентриковый регулировочный задних тормозных колодок</t>
  </si>
  <si>
    <t>75</t>
  </si>
  <si>
    <t>Корпус дифференциала с сателлитами</t>
  </si>
  <si>
    <t>76</t>
  </si>
  <si>
    <t>Корпус КПП старого образца</t>
  </si>
  <si>
    <t>77</t>
  </si>
  <si>
    <t>Корпус поворотного кулака левый</t>
  </si>
  <si>
    <t>78</t>
  </si>
  <si>
    <t>Корпус поворотного кулака правый</t>
  </si>
  <si>
    <t>79</t>
  </si>
  <si>
    <t>Корпус РК</t>
  </si>
  <si>
    <t>80</t>
  </si>
  <si>
    <t>Корпус фиксатора двери боковой</t>
  </si>
  <si>
    <t>81</t>
  </si>
  <si>
    <t>КПП 4-ст старого образца</t>
  </si>
  <si>
    <t>82</t>
  </si>
  <si>
    <t>Кранштейн амортизатора заднего моста</t>
  </si>
  <si>
    <t>83</t>
  </si>
  <si>
    <t>Кранштейн промежуточных рычагов КПП</t>
  </si>
  <si>
    <t>84</t>
  </si>
  <si>
    <t>Крестовина Жигули</t>
  </si>
  <si>
    <t>ВАЗ</t>
  </si>
  <si>
    <t>85</t>
  </si>
  <si>
    <t>Крестовина карданного вала</t>
  </si>
  <si>
    <t>86</t>
  </si>
  <si>
    <t>Крестовина нива</t>
  </si>
  <si>
    <t>87</t>
  </si>
  <si>
    <t>Кронштейн нижний переднего амортизатора</t>
  </si>
  <si>
    <t>88</t>
  </si>
  <si>
    <t>Кронштейн рессоры</t>
  </si>
  <si>
    <t>89</t>
  </si>
  <si>
    <t>Крыльчатка помпы</t>
  </si>
  <si>
    <t>90</t>
  </si>
  <si>
    <t xml:space="preserve">Крышка КПП </t>
  </si>
  <si>
    <t>91</t>
  </si>
  <si>
    <t xml:space="preserve">Крышка КПП Газ 3307 </t>
  </si>
  <si>
    <t>92</t>
  </si>
  <si>
    <t>53А170201002</t>
  </si>
  <si>
    <t xml:space="preserve">Крышка КПП на газ 3307 в сборе </t>
  </si>
  <si>
    <t>93</t>
  </si>
  <si>
    <t>Крышка КПП старого образца</t>
  </si>
  <si>
    <t>94</t>
  </si>
  <si>
    <t>Крышка люка вала отбора мощности или КПП</t>
  </si>
  <si>
    <t>95</t>
  </si>
  <si>
    <t>Крышка переднего подшипника промежуточного вала</t>
  </si>
  <si>
    <t>96</t>
  </si>
  <si>
    <t>Крышка передняя подшипника промвала</t>
  </si>
  <si>
    <t>97</t>
  </si>
  <si>
    <t>Крышка подшипника вторичного вала</t>
  </si>
  <si>
    <t>98</t>
  </si>
  <si>
    <t>крышка подшипника первичного вала КПП</t>
  </si>
  <si>
    <t>99</t>
  </si>
  <si>
    <t>100</t>
  </si>
  <si>
    <t>Крышка подшипника РК</t>
  </si>
  <si>
    <t>101</t>
  </si>
  <si>
    <t>Крышка стартера</t>
  </si>
  <si>
    <t>102</t>
  </si>
  <si>
    <t>Крышка топливного бака</t>
  </si>
  <si>
    <t>103</t>
  </si>
  <si>
    <t>Крышка трамблёра</t>
  </si>
  <si>
    <t>104</t>
  </si>
  <si>
    <t>Кулиса КПП</t>
  </si>
  <si>
    <t>105</t>
  </si>
  <si>
    <t>Лист рессоры</t>
  </si>
  <si>
    <t>106</t>
  </si>
  <si>
    <t>Литол 24 2кг</t>
  </si>
  <si>
    <t>107</t>
  </si>
  <si>
    <t>469-3505035</t>
  </si>
  <si>
    <t>Манжета ГТЦ</t>
  </si>
  <si>
    <t>108</t>
  </si>
  <si>
    <t>51-3502051</t>
  </si>
  <si>
    <t>Манжета уплотнительная ЗТЦ 38 мм</t>
  </si>
  <si>
    <t>109</t>
  </si>
  <si>
    <t>51-3501051</t>
  </si>
  <si>
    <t>Манжета уплотнительная ПТЦ 35 Мм</t>
  </si>
  <si>
    <t>110</t>
  </si>
  <si>
    <t>Манжета цилиндра сцепления</t>
  </si>
  <si>
    <t>111</t>
  </si>
  <si>
    <t>Маховик</t>
  </si>
  <si>
    <t>112</t>
  </si>
  <si>
    <t>113</t>
  </si>
  <si>
    <t>Механизм управления РК</t>
  </si>
  <si>
    <t>114</t>
  </si>
  <si>
    <t>Морда УАЗ 469</t>
  </si>
  <si>
    <t>115</t>
  </si>
  <si>
    <t>Муфта КПП 3-4 передачи со ступицей</t>
  </si>
  <si>
    <t>116</t>
  </si>
  <si>
    <t>Муфта переключения 1-2й передачи</t>
  </si>
  <si>
    <t>117</t>
  </si>
  <si>
    <t>Муфта синхронизатора</t>
  </si>
  <si>
    <t>118</t>
  </si>
  <si>
    <t>Муфта синхронизатора 3-4 й передачи</t>
  </si>
  <si>
    <t>119</t>
  </si>
  <si>
    <t>Муфта синхронизатора 3-4 передачи</t>
  </si>
  <si>
    <t>120</t>
  </si>
  <si>
    <t xml:space="preserve">муфта скользящая фланца </t>
  </si>
  <si>
    <t>121</t>
  </si>
  <si>
    <t>4052-3707230</t>
  </si>
  <si>
    <t xml:space="preserve">Наконечники свечные синие </t>
  </si>
  <si>
    <t>122</t>
  </si>
  <si>
    <t>2110-5208009</t>
  </si>
  <si>
    <t>Насос омывателя</t>
  </si>
  <si>
    <t>УАЗ/ ГАЗ/ ВАЗ</t>
  </si>
  <si>
    <t>123</t>
  </si>
  <si>
    <t>Насос топливный погружной</t>
  </si>
  <si>
    <t>124</t>
  </si>
  <si>
    <t>Натяжной ролик</t>
  </si>
  <si>
    <t>125</t>
  </si>
  <si>
    <t>Натяжной ролик с кранштейном</t>
  </si>
  <si>
    <t>126</t>
  </si>
  <si>
    <t xml:space="preserve">Обмотка генератора </t>
  </si>
  <si>
    <t>127</t>
  </si>
  <si>
    <t xml:space="preserve">Обод фары </t>
  </si>
  <si>
    <t>128</t>
  </si>
  <si>
    <t xml:space="preserve">Опора шкворня </t>
  </si>
  <si>
    <t>129</t>
  </si>
  <si>
    <t>Ось сателлитов</t>
  </si>
  <si>
    <t>130</t>
  </si>
  <si>
    <t>Патрубок алюминиевый тройник</t>
  </si>
  <si>
    <t>131</t>
  </si>
  <si>
    <t>Патрубоки (разные)</t>
  </si>
  <si>
    <t>132</t>
  </si>
  <si>
    <t>Первичный вал ГАЗ 53</t>
  </si>
  <si>
    <t>133</t>
  </si>
  <si>
    <t>451Д1701030</t>
  </si>
  <si>
    <t xml:space="preserve">Первичный вал КПП </t>
  </si>
  <si>
    <t>134</t>
  </si>
  <si>
    <t>Передний кардан</t>
  </si>
  <si>
    <t>135</t>
  </si>
  <si>
    <t>Передняя крышка блока цилиндров</t>
  </si>
  <si>
    <t>136</t>
  </si>
  <si>
    <t xml:space="preserve">Переключатель стеклоочистителя </t>
  </si>
  <si>
    <t>137</t>
  </si>
  <si>
    <t>Переходник карбюратора</t>
  </si>
  <si>
    <t>138</t>
  </si>
  <si>
    <t>Поводок с дворником</t>
  </si>
  <si>
    <t>139</t>
  </si>
  <si>
    <t>Подвесной подшипник Жигули</t>
  </si>
  <si>
    <t>140</t>
  </si>
  <si>
    <t>52x20x15</t>
  </si>
  <si>
    <t>Подшипник 102304 редуктора заднего моста</t>
  </si>
  <si>
    <t>141</t>
  </si>
  <si>
    <t>80x35x21</t>
  </si>
  <si>
    <t>Подшипник 50307 вала привода моста</t>
  </si>
  <si>
    <t>142</t>
  </si>
  <si>
    <t>40x17x12</t>
  </si>
  <si>
    <t>Подшипник 6203 первичного вала</t>
  </si>
  <si>
    <t>143</t>
  </si>
  <si>
    <t>47x20x14</t>
  </si>
  <si>
    <t>Подшипник 6204</t>
  </si>
  <si>
    <t>144</t>
  </si>
  <si>
    <t>80x40x18</t>
  </si>
  <si>
    <t>Подшипник 6208 для КПП или РК</t>
  </si>
  <si>
    <t>145</t>
  </si>
  <si>
    <t>85x45x19</t>
  </si>
  <si>
    <t xml:space="preserve">Подшипник 6209 первичного вала КПП 5-ст </t>
  </si>
  <si>
    <t>146</t>
  </si>
  <si>
    <t>72x30x19</t>
  </si>
  <si>
    <t>Подшипник 6306 РК</t>
  </si>
  <si>
    <t>147</t>
  </si>
  <si>
    <t>Подшипник 7505</t>
  </si>
  <si>
    <t>148</t>
  </si>
  <si>
    <t>Подшипник 7606</t>
  </si>
  <si>
    <t>149</t>
  </si>
  <si>
    <t>40x80x18</t>
  </si>
  <si>
    <t>Подшипник в раздатку 6208</t>
  </si>
  <si>
    <t>150</t>
  </si>
  <si>
    <t>Подшипник ведущей шестерни главной передачи</t>
  </si>
  <si>
    <t>151</t>
  </si>
  <si>
    <t>Подшипник вторичного вала КПП</t>
  </si>
  <si>
    <t>152</t>
  </si>
  <si>
    <t>50x90x24.75</t>
  </si>
  <si>
    <t>Подшипник дифференциала</t>
  </si>
  <si>
    <t>153</t>
  </si>
  <si>
    <t>Подшипник не товарный вид</t>
  </si>
  <si>
    <t>154</t>
  </si>
  <si>
    <t>6305n</t>
  </si>
  <si>
    <t>Подшипник пром вала КПП</t>
  </si>
  <si>
    <t>155</t>
  </si>
  <si>
    <t>45x85x24.75</t>
  </si>
  <si>
    <t xml:space="preserve">Подшипник ступицы </t>
  </si>
  <si>
    <t>156</t>
  </si>
  <si>
    <t>Полуось задняя</t>
  </si>
  <si>
    <t>157</t>
  </si>
  <si>
    <t>Полуось передняя</t>
  </si>
  <si>
    <t>158</t>
  </si>
  <si>
    <t>Помпа</t>
  </si>
  <si>
    <t>159</t>
  </si>
  <si>
    <t>Поршневые кольца (комплект)</t>
  </si>
  <si>
    <t>160</t>
  </si>
  <si>
    <t>Привод вентилятора</t>
  </si>
  <si>
    <t>161</t>
  </si>
  <si>
    <t>Приемная трубка топливопровода</t>
  </si>
  <si>
    <t>Фильтры</t>
  </si>
  <si>
    <t>162</t>
  </si>
  <si>
    <t>Пробка сливная</t>
  </si>
  <si>
    <t>163</t>
  </si>
  <si>
    <t>Прокладка впускного коллектора нового образца</t>
  </si>
  <si>
    <t>164</t>
  </si>
  <si>
    <t>Прокладка впускного коллектора старого образца</t>
  </si>
  <si>
    <t>165</t>
  </si>
  <si>
    <t>Прокладка ГБЦ ГАЗ 53</t>
  </si>
  <si>
    <t>166</t>
  </si>
  <si>
    <t>Прокладка ГБЦ ЗМЗ 417</t>
  </si>
  <si>
    <t>167</t>
  </si>
  <si>
    <t>Прокладка клапанной крышки</t>
  </si>
  <si>
    <t>168</t>
  </si>
  <si>
    <t>169</t>
  </si>
  <si>
    <t>Прокладка приемной трубы</t>
  </si>
  <si>
    <t>170</t>
  </si>
  <si>
    <t>Промвал КПП 4-ст нового образца</t>
  </si>
  <si>
    <t>171</t>
  </si>
  <si>
    <t>Промвал КПП 4-ст старого образца</t>
  </si>
  <si>
    <t>172</t>
  </si>
  <si>
    <t>Пружина стяжная тормозных колодок</t>
  </si>
  <si>
    <t>173</t>
  </si>
  <si>
    <t xml:space="preserve">Пыльник крышки КПП </t>
  </si>
  <si>
    <t>174</t>
  </si>
  <si>
    <t>Регулятор напряжения</t>
  </si>
  <si>
    <t>175</t>
  </si>
  <si>
    <t>176</t>
  </si>
  <si>
    <t>Реле прерыватель поворотника</t>
  </si>
  <si>
    <t>177</t>
  </si>
  <si>
    <t>13.3702-01</t>
  </si>
  <si>
    <t>Реле регулятор напряжения</t>
  </si>
  <si>
    <t>178</t>
  </si>
  <si>
    <t>Ремень полеклиновой</t>
  </si>
  <si>
    <t>179</t>
  </si>
  <si>
    <t>Ремень ручейковый</t>
  </si>
  <si>
    <t>180</t>
  </si>
  <si>
    <t>Ремкомплект бензонасоса 900</t>
  </si>
  <si>
    <t>181</t>
  </si>
  <si>
    <t>Ремкомплект гидровакуумного усилителя</t>
  </si>
  <si>
    <t>182</t>
  </si>
  <si>
    <t>Ремкомплект КПП нового образца</t>
  </si>
  <si>
    <t>183</t>
  </si>
  <si>
    <t>Ремкомплект крепления тормозных колодок</t>
  </si>
  <si>
    <t>184</t>
  </si>
  <si>
    <t>Ремкомплект крыльчатки водяного насоса</t>
  </si>
  <si>
    <t>185</t>
  </si>
  <si>
    <t>Ремкомплект крышки кпп</t>
  </si>
  <si>
    <t>186</t>
  </si>
  <si>
    <t xml:space="preserve">Ремкомплект масляного фильтра </t>
  </si>
  <si>
    <t>187</t>
  </si>
  <si>
    <t>Ремкомплект поворотного кулака Хантер</t>
  </si>
  <si>
    <t>188</t>
  </si>
  <si>
    <t xml:space="preserve">Ремкомплект суппорта </t>
  </si>
  <si>
    <t>189</t>
  </si>
  <si>
    <t>Ремкомплект шкворня моста спайсер</t>
  </si>
  <si>
    <t>190</t>
  </si>
  <si>
    <t>Ремкомплект шкворня моста Хантер</t>
  </si>
  <si>
    <t>191</t>
  </si>
  <si>
    <t>РК в сборе</t>
  </si>
  <si>
    <t>192</t>
  </si>
  <si>
    <t>Розетка фаркопа</t>
  </si>
  <si>
    <t>193</t>
  </si>
  <si>
    <t>Рулевой наконечник</t>
  </si>
  <si>
    <t>194</t>
  </si>
  <si>
    <t>195</t>
  </si>
  <si>
    <t>Ручка двери</t>
  </si>
  <si>
    <t>196</t>
  </si>
  <si>
    <t>Ручка задних дверей (комплект)</t>
  </si>
  <si>
    <t>197</t>
  </si>
  <si>
    <t xml:space="preserve">Рычаг кулисы выбора передач </t>
  </si>
  <si>
    <t>198</t>
  </si>
  <si>
    <t>Рычаг кулисы переключения передач</t>
  </si>
  <si>
    <t>199</t>
  </si>
  <si>
    <t>Рычаг нажимного диска</t>
  </si>
  <si>
    <t>200</t>
  </si>
  <si>
    <t>469-3508050-00</t>
  </si>
  <si>
    <t>Рычаг привода стояночного тормоза</t>
  </si>
  <si>
    <t>201</t>
  </si>
  <si>
    <t>Рычажок выбора передач (клюшка)</t>
  </si>
  <si>
    <t>202</t>
  </si>
  <si>
    <t>38x56x10</t>
  </si>
  <si>
    <t>Сальник в кпп</t>
  </si>
  <si>
    <t>203</t>
  </si>
  <si>
    <t>23x35x7</t>
  </si>
  <si>
    <t>Сальник вала червяка рулевого управления</t>
  </si>
  <si>
    <t>204</t>
  </si>
  <si>
    <t>65x90x10</t>
  </si>
  <si>
    <t>Сальник задней ступицы</t>
  </si>
  <si>
    <t>205</t>
  </si>
  <si>
    <t>Сальник коленвала</t>
  </si>
  <si>
    <t>206</t>
  </si>
  <si>
    <t>55x80x10</t>
  </si>
  <si>
    <t>207</t>
  </si>
  <si>
    <t>40x56x7.5</t>
  </si>
  <si>
    <t xml:space="preserve">Сальник коленвала </t>
  </si>
  <si>
    <t>208</t>
  </si>
  <si>
    <t>80x100x10</t>
  </si>
  <si>
    <t>209</t>
  </si>
  <si>
    <t>55x70x8</t>
  </si>
  <si>
    <t>Сальник коленвала ЗМЗ 406</t>
  </si>
  <si>
    <t>210</t>
  </si>
  <si>
    <t xml:space="preserve">Сальник кулака </t>
  </si>
  <si>
    <t>211</t>
  </si>
  <si>
    <t>20x42x10</t>
  </si>
  <si>
    <t>Сальник привода ТНВД</t>
  </si>
  <si>
    <t>КамАЗ</t>
  </si>
  <si>
    <t>212</t>
  </si>
  <si>
    <t>42x75x10</t>
  </si>
  <si>
    <t>Сальник редуктора заднего моста</t>
  </si>
  <si>
    <t>213</t>
  </si>
  <si>
    <t>95х130х12х17.5</t>
  </si>
  <si>
    <t>Сальник ступицы</t>
  </si>
  <si>
    <t>214</t>
  </si>
  <si>
    <t>Сальник ступицы колеса</t>
  </si>
  <si>
    <t>215</t>
  </si>
  <si>
    <t>50x80x10</t>
  </si>
  <si>
    <t>216</t>
  </si>
  <si>
    <t>60x85x10</t>
  </si>
  <si>
    <t>217</t>
  </si>
  <si>
    <t>75x94x10</t>
  </si>
  <si>
    <t>Сальник ТНВД</t>
  </si>
  <si>
    <t>МАЗ</t>
  </si>
  <si>
    <t>218</t>
  </si>
  <si>
    <t>42x68x10x15.5</t>
  </si>
  <si>
    <t>Сальник хвостовика и РК</t>
  </si>
  <si>
    <t>219</t>
  </si>
  <si>
    <t>42x68x16.4</t>
  </si>
  <si>
    <t xml:space="preserve">Сальник хвостовика раздаточной коробки </t>
  </si>
  <si>
    <t>220</t>
  </si>
  <si>
    <t>45x65x10</t>
  </si>
  <si>
    <t>Сальник шарнира поворотного кулака</t>
  </si>
  <si>
    <t>221</t>
  </si>
  <si>
    <t>Сальники клапанов</t>
  </si>
  <si>
    <t>222</t>
  </si>
  <si>
    <t>223</t>
  </si>
  <si>
    <t>224</t>
  </si>
  <si>
    <t>Сошка рулевая</t>
  </si>
  <si>
    <t>225</t>
  </si>
  <si>
    <t>42.3708000-01</t>
  </si>
  <si>
    <t>Стартер</t>
  </si>
  <si>
    <t>226</t>
  </si>
  <si>
    <t>СТ230А1-3708000</t>
  </si>
  <si>
    <t>Стартер ГАЗ 53 (не комплект)</t>
  </si>
  <si>
    <t>227</t>
  </si>
  <si>
    <t>Стремянка рессоры</t>
  </si>
  <si>
    <t>228</t>
  </si>
  <si>
    <t xml:space="preserve">Стремянка рессоры </t>
  </si>
  <si>
    <t>229</t>
  </si>
  <si>
    <t>Ступица колеса</t>
  </si>
  <si>
    <t>230</t>
  </si>
  <si>
    <t>Топливный фильтр</t>
  </si>
  <si>
    <t>231</t>
  </si>
  <si>
    <t xml:space="preserve">Тормозная трубка </t>
  </si>
  <si>
    <t>232</t>
  </si>
  <si>
    <t>Тормозная трубка под кузовом длинная</t>
  </si>
  <si>
    <t>233</t>
  </si>
  <si>
    <t xml:space="preserve">Тормозной диск </t>
  </si>
  <si>
    <t>234</t>
  </si>
  <si>
    <t xml:space="preserve">Тормозной суппорт УАЗ </t>
  </si>
  <si>
    <t>235</t>
  </si>
  <si>
    <t>Тормозной цилиндр передний левый</t>
  </si>
  <si>
    <t>ГАЗ 66,3308</t>
  </si>
  <si>
    <t>236</t>
  </si>
  <si>
    <t xml:space="preserve">Тормозной цилиндр передний левый </t>
  </si>
  <si>
    <t>237</t>
  </si>
  <si>
    <t>Тормозной цилиндр передний правый</t>
  </si>
  <si>
    <t>238</t>
  </si>
  <si>
    <t>Тормозной щит</t>
  </si>
  <si>
    <t>239</t>
  </si>
  <si>
    <t>Тормозной щит передний</t>
  </si>
  <si>
    <t>240</t>
  </si>
  <si>
    <t>Трапеция привода дворников</t>
  </si>
  <si>
    <t>241</t>
  </si>
  <si>
    <t>3160-3506033</t>
  </si>
  <si>
    <t>Тройник тормозных трубок</t>
  </si>
  <si>
    <t>242</t>
  </si>
  <si>
    <t>Трос подсоса</t>
  </si>
  <si>
    <t>243</t>
  </si>
  <si>
    <t>Трос спидометра</t>
  </si>
  <si>
    <t>244</t>
  </si>
  <si>
    <t>Трубка соединительная для системы охлаждения</t>
  </si>
  <si>
    <t>245</t>
  </si>
  <si>
    <t>Удлинитель соска колеса</t>
  </si>
  <si>
    <t>246</t>
  </si>
  <si>
    <t>ПФ13011</t>
  </si>
  <si>
    <t>Указатель поворота ГАЗ 53</t>
  </si>
  <si>
    <t>247</t>
  </si>
  <si>
    <t xml:space="preserve">Усилитель тормозов вакуумных </t>
  </si>
  <si>
    <t>248</t>
  </si>
  <si>
    <t>Фары козел</t>
  </si>
  <si>
    <t>249</t>
  </si>
  <si>
    <t>Фиксатор двери боковой</t>
  </si>
  <si>
    <t>250</t>
  </si>
  <si>
    <t>Фланец вала привода заднего моста</t>
  </si>
  <si>
    <t>251</t>
  </si>
  <si>
    <t>Фланец карданного вала РК</t>
  </si>
  <si>
    <t>252</t>
  </si>
  <si>
    <t>Фланец первичного вала РК</t>
  </si>
  <si>
    <t>253</t>
  </si>
  <si>
    <t>Фланец ступицы заднего моста</t>
  </si>
  <si>
    <t>254</t>
  </si>
  <si>
    <t>Футболка колёсная ГАЗ 53</t>
  </si>
  <si>
    <t>255</t>
  </si>
  <si>
    <t>Хаб Noname (1шт)</t>
  </si>
  <si>
    <t>256</t>
  </si>
  <si>
    <t>Хабы оригинал (комплект)</t>
  </si>
  <si>
    <t>257</t>
  </si>
  <si>
    <t>Хабы Noname (комплект)</t>
  </si>
  <si>
    <t>258</t>
  </si>
  <si>
    <t>Цапфа поворотного кулака</t>
  </si>
  <si>
    <t>259</t>
  </si>
  <si>
    <t>Чашки листа рессоры + заклепки</t>
  </si>
  <si>
    <t>260</t>
  </si>
  <si>
    <t>Шайба замочная ступицы (ромашка)</t>
  </si>
  <si>
    <t>261</t>
  </si>
  <si>
    <t xml:space="preserve">Шайба стопорная переднего колеса </t>
  </si>
  <si>
    <t>262</t>
  </si>
  <si>
    <t>Шайба стопорная подшипника ступичного</t>
  </si>
  <si>
    <t>263</t>
  </si>
  <si>
    <t>Шар ШРУСа</t>
  </si>
  <si>
    <t>264</t>
  </si>
  <si>
    <t>Шаровая опора поворотного кулака</t>
  </si>
  <si>
    <t>265</t>
  </si>
  <si>
    <t>Шестерня 1й передачи</t>
  </si>
  <si>
    <t>266</t>
  </si>
  <si>
    <t>Шестерня 2й передачи н/о</t>
  </si>
  <si>
    <t>267</t>
  </si>
  <si>
    <t>Шестерня 2й передачи старого образца</t>
  </si>
  <si>
    <t>268</t>
  </si>
  <si>
    <t>Шестерня 3 передачи вторичного вала</t>
  </si>
  <si>
    <t>269</t>
  </si>
  <si>
    <t>Шестерня включения понижающей передачи</t>
  </si>
  <si>
    <t>270</t>
  </si>
  <si>
    <t>Шестерня второй передачи</t>
  </si>
  <si>
    <t>271</t>
  </si>
  <si>
    <t xml:space="preserve">Шестерня второй передачи </t>
  </si>
  <si>
    <t>272</t>
  </si>
  <si>
    <t>273</t>
  </si>
  <si>
    <t>Шестерня заднего хода</t>
  </si>
  <si>
    <t>274</t>
  </si>
  <si>
    <t>Шестерня коленвала</t>
  </si>
  <si>
    <t>275</t>
  </si>
  <si>
    <t>ЗИЛ</t>
  </si>
  <si>
    <t>276</t>
  </si>
  <si>
    <t>Шестерня первой передачи</t>
  </si>
  <si>
    <t>277</t>
  </si>
  <si>
    <t>278</t>
  </si>
  <si>
    <t>Шестерня привода спидометра 16-17 зубов</t>
  </si>
  <si>
    <t>279</t>
  </si>
  <si>
    <t>Шестерня привода спидометра 21 зуб</t>
  </si>
  <si>
    <t>280</t>
  </si>
  <si>
    <t>Шестерня третьей передачи</t>
  </si>
  <si>
    <t>281</t>
  </si>
  <si>
    <t>Шкала показания датчика (разные)</t>
  </si>
  <si>
    <t>282</t>
  </si>
  <si>
    <t>Шкив помпы</t>
  </si>
  <si>
    <t>283</t>
  </si>
  <si>
    <t>Шпилька выпускного коллектора</t>
  </si>
  <si>
    <t>284</t>
  </si>
  <si>
    <t>Шпилька колеса</t>
  </si>
  <si>
    <t>285</t>
  </si>
  <si>
    <t>Шпилька колеса ГАЗ 53</t>
  </si>
  <si>
    <t>286</t>
  </si>
  <si>
    <t>Шпилька m10x1/1.25x48</t>
  </si>
  <si>
    <t>287</t>
  </si>
  <si>
    <t>Шпилька/болт ГБЦ</t>
  </si>
  <si>
    <t>288</t>
  </si>
  <si>
    <t>Штуцер регулировочный рулевой тяги</t>
  </si>
  <si>
    <t>289</t>
  </si>
  <si>
    <t>Щиток тормозного диска</t>
  </si>
  <si>
    <t>290</t>
  </si>
  <si>
    <t>Электромагнитная муфта вентилятора</t>
  </si>
  <si>
    <t>291</t>
  </si>
  <si>
    <t>Г25000370120001</t>
  </si>
  <si>
    <t>Якорь генератора</t>
  </si>
  <si>
    <t>292</t>
  </si>
  <si>
    <t xml:space="preserve">Якорь стартера </t>
  </si>
  <si>
    <t>293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</si>
</sst>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.mm\.yyyy"/>
    <numFmt numFmtId="165" formatCode="#,##0\ &quot;₸&quot;"/>
  </numFmts>
  <fonts count="8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7.0"/>
      <color rgb="FF212529"/>
      <name val="Roboto"/>
    </font>
    <font>
      <sz val="11.0"/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4">
    <border/>
    <border>
      <left/>
      <right/>
      <top/>
      <bottom style="thin">
        <color rgb="FFD9E1F2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top" wrapText="1"/>
    </xf>
    <xf borderId="0" fillId="0" fontId="3" numFmtId="0" xfId="0" applyFont="1"/>
    <xf borderId="0" fillId="0" fontId="4" numFmtId="0" xfId="0" applyAlignment="1" applyFont="1">
      <alignment shrinkToFit="0" vertical="top" wrapText="1"/>
    </xf>
    <xf borderId="0" fillId="0" fontId="5" numFmtId="0" xfId="0" applyFont="1"/>
    <xf borderId="1" fillId="2" fontId="1" numFmtId="0" xfId="0" applyAlignment="1" applyBorder="1" applyFill="1" applyFont="1">
      <alignment horizontal="center" readingOrder="0" shrinkToFit="0" vertical="center" wrapText="1"/>
    </xf>
    <xf quotePrefix="1" borderId="0" fillId="0" fontId="2" numFmtId="0" xfId="0" applyAlignment="1" applyFont="1">
      <alignment readingOrder="0"/>
    </xf>
    <xf borderId="0" fillId="0" fontId="5" numFmtId="1" xfId="0" applyFont="1" applyNumberFormat="1"/>
    <xf borderId="0" fillId="0" fontId="2" numFmtId="0" xfId="0" applyFont="1"/>
    <xf borderId="0" fillId="0" fontId="4" numFmtId="164" xfId="0" applyFont="1" applyNumberFormat="1"/>
    <xf borderId="0" fillId="0" fontId="4" numFmtId="165" xfId="0" applyFont="1" applyNumberFormat="1"/>
    <xf borderId="0" fillId="0" fontId="4" numFmtId="165" xfId="0" applyAlignment="1" applyFont="1" applyNumberFormat="1">
      <alignment readingOrder="0"/>
    </xf>
    <xf borderId="0" fillId="0" fontId="4" numFmtId="1" xfId="0" applyFont="1" applyNumberFormat="1"/>
    <xf borderId="0" fillId="0" fontId="4" numFmtId="3" xfId="0" applyFont="1" applyNumberFormat="1"/>
    <xf borderId="2" fillId="0" fontId="2" numFmtId="4" xfId="0" applyBorder="1" applyFont="1" applyNumberFormat="1"/>
    <xf borderId="3" fillId="0" fontId="2" numFmtId="0" xfId="0" applyAlignment="1" applyBorder="1" applyFont="1">
      <alignment readingOrder="0"/>
    </xf>
    <xf borderId="0" fillId="0" fontId="2" numFmtId="165" xfId="0" applyFont="1" applyNumberFormat="1"/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horizontal="left" readingOrder="0" vertical="top"/>
    </xf>
  </cellXfs>
  <cellStyles count="1">
    <cellStyle xfId="0" name="Normal" builtinId="0"/>
  </cellStyles>
  <dxfs count="2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6.71"/>
    <col customWidth="1" min="3" max="3" width="0.43"/>
    <col customWidth="1" min="4" max="4" width="28.0"/>
    <col customWidth="1" min="5" max="5" width="16.0"/>
    <col customWidth="1" min="6" max="6" width="0.43"/>
    <col customWidth="1" min="7" max="7" width="17.0"/>
    <col customWidth="1" min="8" max="8" width="15.0"/>
    <col customWidth="1" min="9" max="11" width="12.0"/>
    <col customWidth="1" min="12" max="13" width="15.0"/>
    <col customWidth="1" min="14" max="14" width="22.0"/>
    <col customWidth="1" min="15" max="15" width="15.0"/>
    <col customWidth="1" min="16" max="16" width="15.29"/>
    <col customWidth="1" min="17" max="35" width="8.71"/>
  </cols>
  <sheetData>
    <row r="1" ht="34.5" customHeight="1">
      <c r="A1" s="1" t="s">
        <v>0</v>
      </c>
      <c r="B1" s="1" t="s">
        <v>4</v>
      </c>
      <c r="C1" s="1" t="s">
        <v>5</v>
      </c>
      <c r="D1" s="1" t="s">
        <v>6</v>
      </c>
      <c r="E1" s="1" t="s">
        <v>9</v>
      </c>
      <c r="F1" s="1" t="s">
        <v>11</v>
      </c>
      <c r="G1" s="1" t="s">
        <v>13</v>
      </c>
      <c r="H1" s="1" t="s">
        <v>16</v>
      </c>
      <c r="I1" s="1" t="s">
        <v>18</v>
      </c>
      <c r="J1" s="1" t="s">
        <v>20</v>
      </c>
      <c r="K1" s="1" t="s">
        <v>22</v>
      </c>
      <c r="L1" s="7" t="s">
        <v>27</v>
      </c>
      <c r="M1" s="1" t="s">
        <v>35</v>
      </c>
      <c r="N1" s="1" t="s">
        <v>37</v>
      </c>
      <c r="O1" s="1" t="s">
        <v>41</v>
      </c>
      <c r="P1" s="1" t="s">
        <v>25</v>
      </c>
      <c r="AI1" s="2" t="s">
        <v>48</v>
      </c>
    </row>
    <row r="2">
      <c r="B2" s="2" t="s">
        <v>53</v>
      </c>
      <c r="D2" s="2" t="s">
        <v>54</v>
      </c>
      <c r="E2" s="2" t="s">
        <v>68</v>
      </c>
      <c r="F2" s="11"/>
      <c r="G2" s="12"/>
      <c r="H2" s="13">
        <v>3000.0</v>
      </c>
      <c r="I2" s="2">
        <v>22.0</v>
      </c>
      <c r="J2" s="2">
        <v>1.0</v>
      </c>
      <c r="K2" s="10">
        <f t="shared" ref="K2:K146" si="1">I2-J2</f>
        <v>21</v>
      </c>
      <c r="L2" s="12">
        <f t="shared" ref="L2:L501" si="2">K2*H2</f>
        <v>63000</v>
      </c>
      <c r="M2" s="12" t="str">
        <f t="shared" ref="M2:M142" si="3">IF(A2="","",H2*J2)</f>
        <v/>
      </c>
      <c r="N2" s="12" t="str">
        <f t="shared" ref="N2:N501" si="4">IF(A2="","",G2*J2)</f>
        <v/>
      </c>
      <c r="O2" s="12" t="str">
        <f t="shared" ref="O2:O501" si="5">IF(A2="","",M2-N2)</f>
        <v/>
      </c>
      <c r="AI2" s="8" t="s">
        <v>38</v>
      </c>
    </row>
    <row r="3">
      <c r="A3" s="2" t="s">
        <v>76</v>
      </c>
      <c r="B3" s="2" t="s">
        <v>77</v>
      </c>
      <c r="D3" s="2" t="s">
        <v>78</v>
      </c>
      <c r="E3" s="2" t="s">
        <v>79</v>
      </c>
      <c r="F3" s="11"/>
      <c r="G3" s="12"/>
      <c r="H3" s="13">
        <v>1000.0</v>
      </c>
      <c r="I3" s="2">
        <v>6.0</v>
      </c>
      <c r="K3" s="10">
        <f t="shared" si="1"/>
        <v>6</v>
      </c>
      <c r="L3" s="12">
        <f t="shared" si="2"/>
        <v>6000</v>
      </c>
      <c r="M3" s="12">
        <f t="shared" si="3"/>
        <v>0</v>
      </c>
      <c r="N3" s="12">
        <f t="shared" si="4"/>
        <v>0</v>
      </c>
      <c r="O3" s="12">
        <f t="shared" si="5"/>
        <v>0</v>
      </c>
      <c r="AI3" s="8" t="s">
        <v>26</v>
      </c>
    </row>
    <row r="4">
      <c r="B4" s="2" t="s">
        <v>80</v>
      </c>
      <c r="D4" s="2" t="s">
        <v>81</v>
      </c>
      <c r="E4" s="2" t="s">
        <v>82</v>
      </c>
      <c r="F4" s="11"/>
      <c r="G4" s="12"/>
      <c r="H4" s="13">
        <v>5000.0</v>
      </c>
      <c r="I4" s="2">
        <v>1.0</v>
      </c>
      <c r="K4" s="10">
        <f t="shared" si="1"/>
        <v>1</v>
      </c>
      <c r="L4" s="12">
        <f t="shared" si="2"/>
        <v>5000</v>
      </c>
      <c r="M4" s="12" t="str">
        <f t="shared" si="3"/>
        <v/>
      </c>
      <c r="N4" s="12" t="str">
        <f t="shared" si="4"/>
        <v/>
      </c>
      <c r="O4" s="12" t="str">
        <f t="shared" si="5"/>
        <v/>
      </c>
      <c r="AI4" s="8" t="s">
        <v>31</v>
      </c>
    </row>
    <row r="5">
      <c r="A5" s="2">
        <v>5.2170108E8</v>
      </c>
      <c r="B5" s="2" t="s">
        <v>83</v>
      </c>
      <c r="D5" s="2" t="s">
        <v>78</v>
      </c>
      <c r="E5" s="2" t="s">
        <v>84</v>
      </c>
      <c r="F5" s="11"/>
      <c r="G5" s="12"/>
      <c r="H5" s="13">
        <v>17000.0</v>
      </c>
      <c r="I5" s="2">
        <v>7.0</v>
      </c>
      <c r="K5" s="10">
        <f t="shared" si="1"/>
        <v>7</v>
      </c>
      <c r="L5" s="12">
        <f t="shared" si="2"/>
        <v>119000</v>
      </c>
      <c r="M5" s="12">
        <f t="shared" si="3"/>
        <v>0</v>
      </c>
      <c r="N5" s="12">
        <f t="shared" si="4"/>
        <v>0</v>
      </c>
      <c r="O5" s="12">
        <f t="shared" si="5"/>
        <v>0</v>
      </c>
      <c r="AI5" s="8" t="s">
        <v>36</v>
      </c>
    </row>
    <row r="6">
      <c r="B6" s="2" t="s">
        <v>85</v>
      </c>
      <c r="D6" s="2" t="s">
        <v>78</v>
      </c>
      <c r="E6" s="2" t="s">
        <v>84</v>
      </c>
      <c r="F6" s="11"/>
      <c r="G6" s="12"/>
      <c r="H6" s="13">
        <v>50000.0</v>
      </c>
      <c r="I6" s="2">
        <v>7.0</v>
      </c>
      <c r="K6" s="10">
        <f t="shared" si="1"/>
        <v>7</v>
      </c>
      <c r="L6" s="12">
        <f t="shared" si="2"/>
        <v>350000</v>
      </c>
      <c r="M6" s="12" t="str">
        <f t="shared" si="3"/>
        <v/>
      </c>
      <c r="N6" s="12" t="str">
        <f t="shared" si="4"/>
        <v/>
      </c>
      <c r="O6" s="12" t="str">
        <f t="shared" si="5"/>
        <v/>
      </c>
      <c r="AI6" s="8" t="s">
        <v>43</v>
      </c>
    </row>
    <row r="7">
      <c r="A7" s="2">
        <v>5.3121701306E10</v>
      </c>
      <c r="B7" s="2" t="s">
        <v>85</v>
      </c>
      <c r="D7" s="2" t="s">
        <v>86</v>
      </c>
      <c r="E7" s="2" t="s">
        <v>84</v>
      </c>
      <c r="F7" s="11"/>
      <c r="G7" s="12"/>
      <c r="H7" s="13">
        <v>90000.0</v>
      </c>
      <c r="I7" s="2">
        <v>3.0</v>
      </c>
      <c r="K7" s="10">
        <f t="shared" si="1"/>
        <v>3</v>
      </c>
      <c r="L7" s="12">
        <f t="shared" si="2"/>
        <v>270000</v>
      </c>
      <c r="M7" s="12">
        <f t="shared" si="3"/>
        <v>0</v>
      </c>
      <c r="N7" s="12">
        <f t="shared" si="4"/>
        <v>0</v>
      </c>
      <c r="O7" s="12">
        <f t="shared" si="5"/>
        <v>0</v>
      </c>
      <c r="AI7" s="8" t="s">
        <v>49</v>
      </c>
    </row>
    <row r="8">
      <c r="B8" s="2" t="s">
        <v>87</v>
      </c>
      <c r="D8" s="2" t="s">
        <v>88</v>
      </c>
      <c r="E8" s="2" t="s">
        <v>82</v>
      </c>
      <c r="F8" s="11"/>
      <c r="G8" s="12"/>
      <c r="H8" s="13">
        <v>300.0</v>
      </c>
      <c r="I8" s="2">
        <v>25.0</v>
      </c>
      <c r="K8" s="10">
        <f t="shared" si="1"/>
        <v>25</v>
      </c>
      <c r="L8" s="12">
        <f t="shared" si="2"/>
        <v>7500</v>
      </c>
      <c r="M8" s="12" t="str">
        <f t="shared" si="3"/>
        <v/>
      </c>
      <c r="N8" s="12" t="str">
        <f t="shared" si="4"/>
        <v/>
      </c>
      <c r="O8" s="12" t="str">
        <f t="shared" si="5"/>
        <v/>
      </c>
      <c r="AI8" s="8" t="s">
        <v>89</v>
      </c>
    </row>
    <row r="9">
      <c r="B9" s="2" t="s">
        <v>90</v>
      </c>
      <c r="D9" s="2" t="s">
        <v>54</v>
      </c>
      <c r="E9" s="2" t="s">
        <v>84</v>
      </c>
      <c r="F9" s="11"/>
      <c r="G9" s="12"/>
      <c r="H9" s="13">
        <v>200.0</v>
      </c>
      <c r="I9" s="2">
        <v>105.0</v>
      </c>
      <c r="K9" s="10">
        <f t="shared" si="1"/>
        <v>105</v>
      </c>
      <c r="L9" s="12">
        <f t="shared" si="2"/>
        <v>21000</v>
      </c>
      <c r="M9" s="12" t="str">
        <f t="shared" si="3"/>
        <v/>
      </c>
      <c r="N9" s="12" t="str">
        <f t="shared" si="4"/>
        <v/>
      </c>
      <c r="O9" s="12" t="str">
        <f t="shared" si="5"/>
        <v/>
      </c>
      <c r="AI9" s="8" t="s">
        <v>91</v>
      </c>
    </row>
    <row r="10">
      <c r="B10" s="2" t="s">
        <v>92</v>
      </c>
      <c r="D10" s="2" t="s">
        <v>93</v>
      </c>
      <c r="E10" s="2" t="s">
        <v>84</v>
      </c>
      <c r="F10" s="11"/>
      <c r="G10" s="12"/>
      <c r="H10" s="13">
        <v>300.0</v>
      </c>
      <c r="I10" s="2">
        <v>42.0</v>
      </c>
      <c r="K10" s="10">
        <f t="shared" si="1"/>
        <v>42</v>
      </c>
      <c r="L10" s="12">
        <f t="shared" si="2"/>
        <v>12600</v>
      </c>
      <c r="M10" s="12" t="str">
        <f t="shared" si="3"/>
        <v/>
      </c>
      <c r="N10" s="12" t="str">
        <f t="shared" si="4"/>
        <v/>
      </c>
      <c r="O10" s="12" t="str">
        <f t="shared" si="5"/>
        <v/>
      </c>
      <c r="AI10" s="8" t="s">
        <v>94</v>
      </c>
    </row>
    <row r="11">
      <c r="A11" s="2" t="s">
        <v>95</v>
      </c>
      <c r="B11" s="2" t="s">
        <v>96</v>
      </c>
      <c r="D11" s="2" t="s">
        <v>54</v>
      </c>
      <c r="E11" s="2" t="s">
        <v>82</v>
      </c>
      <c r="F11" s="11"/>
      <c r="G11" s="12"/>
      <c r="H11" s="13">
        <v>300.0</v>
      </c>
      <c r="I11" s="2">
        <v>180.0</v>
      </c>
      <c r="K11" s="10">
        <f t="shared" si="1"/>
        <v>180</v>
      </c>
      <c r="L11" s="12">
        <f t="shared" si="2"/>
        <v>54000</v>
      </c>
      <c r="M11" s="12">
        <f t="shared" si="3"/>
        <v>0</v>
      </c>
      <c r="N11" s="12">
        <f t="shared" si="4"/>
        <v>0</v>
      </c>
      <c r="O11" s="12">
        <f t="shared" si="5"/>
        <v>0</v>
      </c>
      <c r="AI11" s="8" t="s">
        <v>97</v>
      </c>
    </row>
    <row r="12">
      <c r="A12" s="2" t="s">
        <v>98</v>
      </c>
      <c r="B12" s="2" t="s">
        <v>99</v>
      </c>
      <c r="D12" s="2" t="s">
        <v>54</v>
      </c>
      <c r="E12" s="2" t="s">
        <v>82</v>
      </c>
      <c r="F12" s="11"/>
      <c r="G12" s="12"/>
      <c r="H12" s="13">
        <v>300.0</v>
      </c>
      <c r="I12" s="2">
        <v>25.0</v>
      </c>
      <c r="K12" s="10">
        <f t="shared" si="1"/>
        <v>25</v>
      </c>
      <c r="L12" s="12">
        <f t="shared" si="2"/>
        <v>7500</v>
      </c>
      <c r="M12" s="12">
        <f t="shared" si="3"/>
        <v>0</v>
      </c>
      <c r="N12" s="12">
        <f t="shared" si="4"/>
        <v>0</v>
      </c>
      <c r="O12" s="12">
        <f t="shared" si="5"/>
        <v>0</v>
      </c>
      <c r="AI12" s="8" t="s">
        <v>100</v>
      </c>
    </row>
    <row r="13">
      <c r="A13" s="2" t="s">
        <v>101</v>
      </c>
      <c r="B13" s="2" t="s">
        <v>102</v>
      </c>
      <c r="D13" s="2" t="s">
        <v>88</v>
      </c>
      <c r="E13" s="2" t="s">
        <v>79</v>
      </c>
      <c r="F13" s="11"/>
      <c r="G13" s="12"/>
      <c r="H13" s="13">
        <v>500.0</v>
      </c>
      <c r="I13" s="2">
        <v>32.0</v>
      </c>
      <c r="K13" s="10">
        <f t="shared" si="1"/>
        <v>32</v>
      </c>
      <c r="L13" s="12">
        <f t="shared" si="2"/>
        <v>16000</v>
      </c>
      <c r="M13" s="12">
        <f t="shared" si="3"/>
        <v>0</v>
      </c>
      <c r="N13" s="12">
        <f t="shared" si="4"/>
        <v>0</v>
      </c>
      <c r="O13" s="12">
        <f t="shared" si="5"/>
        <v>0</v>
      </c>
      <c r="AI13" s="8" t="s">
        <v>103</v>
      </c>
    </row>
    <row r="14">
      <c r="A14" s="2">
        <v>3.15135010681E12</v>
      </c>
      <c r="B14" s="2" t="s">
        <v>104</v>
      </c>
      <c r="D14" s="2" t="s">
        <v>54</v>
      </c>
      <c r="E14" s="2" t="s">
        <v>68</v>
      </c>
      <c r="F14" s="11"/>
      <c r="G14" s="12"/>
      <c r="H14" s="13">
        <v>1500.0</v>
      </c>
      <c r="I14" s="2">
        <v>19.0</v>
      </c>
      <c r="K14" s="10">
        <f t="shared" si="1"/>
        <v>19</v>
      </c>
      <c r="L14" s="12">
        <f t="shared" si="2"/>
        <v>28500</v>
      </c>
      <c r="M14" s="12">
        <f t="shared" si="3"/>
        <v>0</v>
      </c>
      <c r="N14" s="12">
        <f t="shared" si="4"/>
        <v>0</v>
      </c>
      <c r="O14" s="12">
        <f t="shared" si="5"/>
        <v>0</v>
      </c>
      <c r="AI14" s="8" t="s">
        <v>105</v>
      </c>
    </row>
    <row r="15">
      <c r="B15" s="2" t="s">
        <v>106</v>
      </c>
      <c r="D15" s="2" t="s">
        <v>88</v>
      </c>
      <c r="E15" s="2" t="s">
        <v>82</v>
      </c>
      <c r="F15" s="11"/>
      <c r="G15" s="12"/>
      <c r="H15" s="13">
        <v>300.0</v>
      </c>
      <c r="I15" s="2">
        <v>18.0</v>
      </c>
      <c r="K15" s="10">
        <f t="shared" si="1"/>
        <v>18</v>
      </c>
      <c r="L15" s="12">
        <f t="shared" si="2"/>
        <v>5400</v>
      </c>
      <c r="M15" s="12" t="str">
        <f t="shared" si="3"/>
        <v/>
      </c>
      <c r="N15" s="12" t="str">
        <f t="shared" si="4"/>
        <v/>
      </c>
      <c r="O15" s="12" t="str">
        <f t="shared" si="5"/>
        <v/>
      </c>
      <c r="AI15" s="8" t="s">
        <v>107</v>
      </c>
    </row>
    <row r="16">
      <c r="A16" s="2">
        <v>4.52001701105E11</v>
      </c>
      <c r="B16" s="2" t="s">
        <v>108</v>
      </c>
      <c r="D16" s="2" t="s">
        <v>54</v>
      </c>
      <c r="E16" s="2" t="s">
        <v>84</v>
      </c>
      <c r="F16" s="11"/>
      <c r="G16" s="12"/>
      <c r="H16" s="13">
        <v>15000.0</v>
      </c>
      <c r="I16" s="2">
        <v>2.0</v>
      </c>
      <c r="K16" s="10">
        <f t="shared" si="1"/>
        <v>2</v>
      </c>
      <c r="L16" s="12">
        <f t="shared" si="2"/>
        <v>30000</v>
      </c>
      <c r="M16" s="12">
        <f t="shared" si="3"/>
        <v>0</v>
      </c>
      <c r="N16" s="12">
        <f t="shared" si="4"/>
        <v>0</v>
      </c>
      <c r="O16" s="12">
        <f t="shared" si="5"/>
        <v>0</v>
      </c>
      <c r="AI16" s="8" t="s">
        <v>109</v>
      </c>
    </row>
    <row r="17">
      <c r="A17" s="2">
        <v>3.741170215095E12</v>
      </c>
      <c r="B17" s="2" t="s">
        <v>110</v>
      </c>
      <c r="D17" s="2" t="s">
        <v>54</v>
      </c>
      <c r="E17" s="2" t="s">
        <v>84</v>
      </c>
      <c r="F17" s="11"/>
      <c r="G17" s="12"/>
      <c r="H17" s="13">
        <v>3000.0</v>
      </c>
      <c r="I17" s="2">
        <v>4.0</v>
      </c>
      <c r="K17" s="10">
        <f t="shared" si="1"/>
        <v>4</v>
      </c>
      <c r="L17" s="12">
        <f t="shared" si="2"/>
        <v>12000</v>
      </c>
      <c r="M17" s="12">
        <f t="shared" si="3"/>
        <v>0</v>
      </c>
      <c r="N17" s="12">
        <f t="shared" si="4"/>
        <v>0</v>
      </c>
      <c r="O17" s="12">
        <f t="shared" si="5"/>
        <v>0</v>
      </c>
      <c r="AI17" s="8" t="s">
        <v>111</v>
      </c>
    </row>
    <row r="18">
      <c r="A18" s="2">
        <v>3.1621802054E10</v>
      </c>
      <c r="B18" s="2" t="s">
        <v>112</v>
      </c>
      <c r="D18" s="2" t="s">
        <v>54</v>
      </c>
      <c r="E18" s="2" t="s">
        <v>84</v>
      </c>
      <c r="F18" s="11"/>
      <c r="G18" s="12"/>
      <c r="H18" s="13">
        <v>30000.0</v>
      </c>
      <c r="I18" s="2">
        <v>3.0</v>
      </c>
      <c r="K18" s="10">
        <f t="shared" si="1"/>
        <v>3</v>
      </c>
      <c r="L18" s="12">
        <f t="shared" si="2"/>
        <v>90000</v>
      </c>
      <c r="M18" s="12">
        <f t="shared" si="3"/>
        <v>0</v>
      </c>
      <c r="N18" s="12">
        <f t="shared" si="4"/>
        <v>0</v>
      </c>
      <c r="O18" s="12">
        <f t="shared" si="5"/>
        <v>0</v>
      </c>
      <c r="AI18" s="8" t="s">
        <v>113</v>
      </c>
    </row>
    <row r="19">
      <c r="A19" s="2">
        <v>3.16200180211E14</v>
      </c>
      <c r="B19" s="2" t="s">
        <v>114</v>
      </c>
      <c r="D19" s="2" t="s">
        <v>54</v>
      </c>
      <c r="E19" s="2" t="s">
        <v>84</v>
      </c>
      <c r="F19" s="11"/>
      <c r="G19" s="12"/>
      <c r="H19" s="13">
        <v>25000.0</v>
      </c>
      <c r="I19" s="2">
        <v>2.0</v>
      </c>
      <c r="K19" s="10">
        <f t="shared" si="1"/>
        <v>2</v>
      </c>
      <c r="L19" s="12">
        <f t="shared" si="2"/>
        <v>50000</v>
      </c>
      <c r="M19" s="12">
        <f t="shared" si="3"/>
        <v>0</v>
      </c>
      <c r="N19" s="12">
        <f t="shared" si="4"/>
        <v>0</v>
      </c>
      <c r="O19" s="12">
        <f t="shared" si="5"/>
        <v>0</v>
      </c>
      <c r="AI19" s="8" t="s">
        <v>115</v>
      </c>
    </row>
    <row r="20">
      <c r="A20" s="2">
        <v>3.74100170125E14</v>
      </c>
      <c r="B20" s="2" t="s">
        <v>116</v>
      </c>
      <c r="D20" s="2" t="s">
        <v>54</v>
      </c>
      <c r="E20" s="2" t="s">
        <v>84</v>
      </c>
      <c r="F20" s="11"/>
      <c r="G20" s="12"/>
      <c r="H20" s="13">
        <v>22000.0</v>
      </c>
      <c r="I20" s="2">
        <v>1.0</v>
      </c>
      <c r="K20" s="10">
        <f t="shared" si="1"/>
        <v>1</v>
      </c>
      <c r="L20" s="12">
        <f t="shared" si="2"/>
        <v>22000</v>
      </c>
      <c r="M20" s="12">
        <f t="shared" si="3"/>
        <v>0</v>
      </c>
      <c r="N20" s="12">
        <f t="shared" si="4"/>
        <v>0</v>
      </c>
      <c r="O20" s="12">
        <f t="shared" si="5"/>
        <v>0</v>
      </c>
      <c r="AI20" s="8" t="s">
        <v>117</v>
      </c>
    </row>
    <row r="21" ht="15.75" customHeight="1">
      <c r="A21" s="2" t="s">
        <v>118</v>
      </c>
      <c r="B21" s="2" t="s">
        <v>119</v>
      </c>
      <c r="D21" s="2" t="s">
        <v>88</v>
      </c>
      <c r="E21" s="2" t="s">
        <v>79</v>
      </c>
      <c r="F21" s="11"/>
      <c r="G21" s="12"/>
      <c r="H21" s="13">
        <v>10000.0</v>
      </c>
      <c r="I21" s="2">
        <v>7.0</v>
      </c>
      <c r="K21" s="10">
        <f t="shared" si="1"/>
        <v>7</v>
      </c>
      <c r="L21" s="12">
        <f t="shared" si="2"/>
        <v>70000</v>
      </c>
      <c r="M21" s="12">
        <f t="shared" si="3"/>
        <v>0</v>
      </c>
      <c r="N21" s="12">
        <f t="shared" si="4"/>
        <v>0</v>
      </c>
      <c r="O21" s="12">
        <f t="shared" si="5"/>
        <v>0</v>
      </c>
      <c r="AI21" s="8" t="s">
        <v>120</v>
      </c>
    </row>
    <row r="22" ht="15.75" customHeight="1">
      <c r="A22" s="2">
        <v>2.4130801E8</v>
      </c>
      <c r="B22" s="2" t="s">
        <v>121</v>
      </c>
      <c r="D22" s="2" t="s">
        <v>88</v>
      </c>
      <c r="E22" s="2" t="s">
        <v>79</v>
      </c>
      <c r="F22" s="11"/>
      <c r="G22" s="12"/>
      <c r="H22" s="13">
        <v>3000.0</v>
      </c>
      <c r="I22" s="2">
        <v>1.0</v>
      </c>
      <c r="K22" s="10">
        <f t="shared" si="1"/>
        <v>1</v>
      </c>
      <c r="L22" s="12">
        <f t="shared" si="2"/>
        <v>3000</v>
      </c>
      <c r="M22" s="12">
        <f t="shared" si="3"/>
        <v>0</v>
      </c>
      <c r="N22" s="12">
        <f t="shared" si="4"/>
        <v>0</v>
      </c>
      <c r="O22" s="12">
        <f t="shared" si="5"/>
        <v>0</v>
      </c>
      <c r="AI22" s="8" t="s">
        <v>122</v>
      </c>
    </row>
    <row r="23" ht="15.75" customHeight="1">
      <c r="A23" s="2">
        <v>3.3021702024E10</v>
      </c>
      <c r="B23" s="2" t="s">
        <v>123</v>
      </c>
      <c r="D23" s="2" t="s">
        <v>81</v>
      </c>
      <c r="E23" s="2" t="s">
        <v>84</v>
      </c>
      <c r="F23" s="11"/>
      <c r="G23" s="12"/>
      <c r="H23" s="13">
        <v>8000.0</v>
      </c>
      <c r="I23" s="2">
        <v>3.0</v>
      </c>
      <c r="K23" s="10">
        <f t="shared" si="1"/>
        <v>3</v>
      </c>
      <c r="L23" s="12">
        <f t="shared" si="2"/>
        <v>24000</v>
      </c>
      <c r="M23" s="12">
        <f t="shared" si="3"/>
        <v>0</v>
      </c>
      <c r="N23" s="12">
        <f t="shared" si="4"/>
        <v>0</v>
      </c>
      <c r="O23" s="12">
        <f t="shared" si="5"/>
        <v>0</v>
      </c>
      <c r="AI23" s="8" t="s">
        <v>124</v>
      </c>
    </row>
    <row r="24" ht="15.75" customHeight="1">
      <c r="A24" s="2">
        <v>4.5200170202402E13</v>
      </c>
      <c r="B24" s="2" t="s">
        <v>125</v>
      </c>
      <c r="D24" s="2" t="s">
        <v>54</v>
      </c>
      <c r="E24" s="2" t="s">
        <v>84</v>
      </c>
      <c r="F24" s="11"/>
      <c r="G24" s="12"/>
      <c r="H24" s="13">
        <v>8000.0</v>
      </c>
      <c r="I24" s="2">
        <v>1.0</v>
      </c>
      <c r="K24" s="10">
        <f t="shared" si="1"/>
        <v>1</v>
      </c>
      <c r="L24" s="12">
        <f t="shared" si="2"/>
        <v>8000</v>
      </c>
      <c r="M24" s="12">
        <f t="shared" si="3"/>
        <v>0</v>
      </c>
      <c r="N24" s="12">
        <f t="shared" si="4"/>
        <v>0</v>
      </c>
      <c r="O24" s="12">
        <f t="shared" si="5"/>
        <v>0</v>
      </c>
      <c r="AI24" s="8" t="s">
        <v>126</v>
      </c>
    </row>
    <row r="25" ht="15.75" customHeight="1">
      <c r="A25" s="2" t="s">
        <v>127</v>
      </c>
      <c r="B25" s="2" t="s">
        <v>128</v>
      </c>
      <c r="D25" s="2" t="s">
        <v>88</v>
      </c>
      <c r="E25" s="2" t="s">
        <v>79</v>
      </c>
      <c r="F25" s="11"/>
      <c r="G25" s="12"/>
      <c r="H25" s="13">
        <v>1500.0</v>
      </c>
      <c r="I25" s="2">
        <v>4.0</v>
      </c>
      <c r="K25" s="10">
        <f t="shared" si="1"/>
        <v>4</v>
      </c>
      <c r="L25" s="12">
        <f t="shared" si="2"/>
        <v>6000</v>
      </c>
      <c r="M25" s="12">
        <f t="shared" si="3"/>
        <v>0</v>
      </c>
      <c r="N25" s="12">
        <f t="shared" si="4"/>
        <v>0</v>
      </c>
      <c r="O25" s="12">
        <f t="shared" si="5"/>
        <v>0</v>
      </c>
      <c r="AI25" s="8" t="s">
        <v>129</v>
      </c>
    </row>
    <row r="26" ht="15.75" customHeight="1">
      <c r="B26" s="2" t="s">
        <v>130</v>
      </c>
      <c r="D26" s="2" t="s">
        <v>54</v>
      </c>
      <c r="E26" s="2" t="s">
        <v>84</v>
      </c>
      <c r="F26" s="11"/>
      <c r="G26" s="12"/>
      <c r="H26" s="13">
        <v>12000.0</v>
      </c>
      <c r="I26" s="2">
        <v>3.0</v>
      </c>
      <c r="K26" s="10">
        <f t="shared" si="1"/>
        <v>3</v>
      </c>
      <c r="L26" s="12">
        <f t="shared" si="2"/>
        <v>36000</v>
      </c>
      <c r="M26" s="12" t="str">
        <f t="shared" si="3"/>
        <v/>
      </c>
      <c r="N26" s="12" t="str">
        <f t="shared" si="4"/>
        <v/>
      </c>
      <c r="O26" s="12" t="str">
        <f t="shared" si="5"/>
        <v/>
      </c>
      <c r="AI26" s="8" t="s">
        <v>131</v>
      </c>
    </row>
    <row r="27" ht="15.75" customHeight="1">
      <c r="A27" s="2">
        <v>3.16000230402312E14</v>
      </c>
      <c r="B27" s="2" t="s">
        <v>132</v>
      </c>
      <c r="D27" s="2" t="s">
        <v>54</v>
      </c>
      <c r="E27" s="2" t="s">
        <v>84</v>
      </c>
      <c r="F27" s="11"/>
      <c r="G27" s="12"/>
      <c r="H27" s="13">
        <v>1000.0</v>
      </c>
      <c r="I27" s="2">
        <v>11.0</v>
      </c>
      <c r="K27" s="10">
        <f t="shared" si="1"/>
        <v>11</v>
      </c>
      <c r="L27" s="12">
        <f t="shared" si="2"/>
        <v>11000</v>
      </c>
      <c r="M27" s="12">
        <f t="shared" si="3"/>
        <v>0</v>
      </c>
      <c r="N27" s="12">
        <f t="shared" si="4"/>
        <v>0</v>
      </c>
      <c r="O27" s="12">
        <f t="shared" si="5"/>
        <v>0</v>
      </c>
      <c r="AI27" s="8" t="s">
        <v>133</v>
      </c>
    </row>
    <row r="28" ht="15.75" customHeight="1">
      <c r="A28" s="2">
        <v>2.4100010231E10</v>
      </c>
      <c r="B28" s="2" t="s">
        <v>134</v>
      </c>
      <c r="D28" s="2" t="s">
        <v>135</v>
      </c>
      <c r="E28" s="2" t="s">
        <v>79</v>
      </c>
      <c r="F28" s="11"/>
      <c r="G28" s="12"/>
      <c r="H28" s="13">
        <v>10000.0</v>
      </c>
      <c r="I28" s="2">
        <v>2.0</v>
      </c>
      <c r="K28" s="10">
        <f t="shared" si="1"/>
        <v>2</v>
      </c>
      <c r="L28" s="12">
        <f t="shared" si="2"/>
        <v>20000</v>
      </c>
      <c r="M28" s="12">
        <f t="shared" si="3"/>
        <v>0</v>
      </c>
      <c r="N28" s="12">
        <f t="shared" si="4"/>
        <v>0</v>
      </c>
      <c r="O28" s="12">
        <f t="shared" si="5"/>
        <v>0</v>
      </c>
      <c r="AI28" s="8" t="s">
        <v>136</v>
      </c>
    </row>
    <row r="29" ht="15.75" customHeight="1">
      <c r="A29" s="2">
        <v>2.4100010202E10</v>
      </c>
      <c r="B29" s="2" t="s">
        <v>137</v>
      </c>
      <c r="D29" s="2" t="s">
        <v>135</v>
      </c>
      <c r="E29" s="2" t="s">
        <v>79</v>
      </c>
      <c r="F29" s="11"/>
      <c r="G29" s="12"/>
      <c r="H29" s="13">
        <v>10000.0</v>
      </c>
      <c r="I29" s="2">
        <v>3.0</v>
      </c>
      <c r="K29" s="10">
        <f t="shared" si="1"/>
        <v>3</v>
      </c>
      <c r="L29" s="12">
        <f t="shared" si="2"/>
        <v>30000</v>
      </c>
      <c r="M29" s="12">
        <f t="shared" si="3"/>
        <v>0</v>
      </c>
      <c r="N29" s="12">
        <f t="shared" si="4"/>
        <v>0</v>
      </c>
      <c r="O29" s="12">
        <f t="shared" si="5"/>
        <v>0</v>
      </c>
      <c r="AI29" s="8" t="s">
        <v>138</v>
      </c>
    </row>
    <row r="30" ht="15.75" customHeight="1">
      <c r="A30" s="2">
        <v>2.41000104E8</v>
      </c>
      <c r="B30" s="2" t="s">
        <v>139</v>
      </c>
      <c r="D30" s="2" t="s">
        <v>135</v>
      </c>
      <c r="E30" s="2" t="s">
        <v>79</v>
      </c>
      <c r="F30" s="11"/>
      <c r="G30" s="12"/>
      <c r="H30" s="13">
        <v>10000.0</v>
      </c>
      <c r="I30" s="2">
        <v>1.0</v>
      </c>
      <c r="K30" s="10">
        <f t="shared" si="1"/>
        <v>1</v>
      </c>
      <c r="L30" s="12">
        <f t="shared" si="2"/>
        <v>10000</v>
      </c>
      <c r="M30" s="12">
        <f t="shared" si="3"/>
        <v>0</v>
      </c>
      <c r="N30" s="12">
        <f t="shared" si="4"/>
        <v>0</v>
      </c>
      <c r="O30" s="12">
        <f t="shared" si="5"/>
        <v>0</v>
      </c>
      <c r="AI30" s="8" t="s">
        <v>140</v>
      </c>
    </row>
    <row r="31" ht="15.75" customHeight="1">
      <c r="A31" s="2">
        <v>4.691701105E9</v>
      </c>
      <c r="B31" s="2" t="s">
        <v>141</v>
      </c>
      <c r="D31" s="2" t="s">
        <v>54</v>
      </c>
      <c r="E31" s="2" t="s">
        <v>84</v>
      </c>
      <c r="F31" s="11"/>
      <c r="G31" s="12"/>
      <c r="H31" s="13">
        <v>15000.0</v>
      </c>
      <c r="I31" s="2">
        <v>3.0</v>
      </c>
      <c r="K31" s="10">
        <f t="shared" si="1"/>
        <v>3</v>
      </c>
      <c r="L31" s="12">
        <f t="shared" si="2"/>
        <v>45000</v>
      </c>
      <c r="M31" s="12">
        <f t="shared" si="3"/>
        <v>0</v>
      </c>
      <c r="N31" s="12">
        <f t="shared" si="4"/>
        <v>0</v>
      </c>
      <c r="O31" s="12">
        <f t="shared" si="5"/>
        <v>0</v>
      </c>
      <c r="AI31" s="8" t="s">
        <v>142</v>
      </c>
    </row>
    <row r="32" ht="15.75" customHeight="1">
      <c r="A32" s="2">
        <v>5.3121701101E10</v>
      </c>
      <c r="B32" s="2" t="s">
        <v>143</v>
      </c>
      <c r="D32" s="2" t="s">
        <v>78</v>
      </c>
      <c r="E32" s="2" t="s">
        <v>84</v>
      </c>
      <c r="F32" s="11"/>
      <c r="G32" s="12"/>
      <c r="H32" s="13">
        <v>25000.0</v>
      </c>
      <c r="I32" s="2">
        <v>6.0</v>
      </c>
      <c r="K32" s="10">
        <f t="shared" si="1"/>
        <v>6</v>
      </c>
      <c r="L32" s="12">
        <f t="shared" si="2"/>
        <v>150000</v>
      </c>
      <c r="M32" s="12">
        <f t="shared" si="3"/>
        <v>0</v>
      </c>
      <c r="N32" s="12">
        <f t="shared" si="4"/>
        <v>0</v>
      </c>
      <c r="O32" s="12">
        <f t="shared" si="5"/>
        <v>0</v>
      </c>
      <c r="AI32" s="8" t="s">
        <v>144</v>
      </c>
    </row>
    <row r="33" ht="15.75" customHeight="1">
      <c r="B33" s="2" t="s">
        <v>145</v>
      </c>
      <c r="D33" s="2" t="s">
        <v>88</v>
      </c>
      <c r="E33" s="2" t="s">
        <v>79</v>
      </c>
      <c r="F33" s="11"/>
      <c r="G33" s="12"/>
      <c r="H33" s="13">
        <v>1500.0</v>
      </c>
      <c r="I33" s="2">
        <v>11.0</v>
      </c>
      <c r="K33" s="10">
        <f t="shared" si="1"/>
        <v>11</v>
      </c>
      <c r="L33" s="12">
        <f t="shared" si="2"/>
        <v>16500</v>
      </c>
      <c r="M33" s="12" t="str">
        <f t="shared" si="3"/>
        <v/>
      </c>
      <c r="N33" s="12" t="str">
        <f t="shared" si="4"/>
        <v/>
      </c>
      <c r="O33" s="12" t="str">
        <f t="shared" si="5"/>
        <v/>
      </c>
      <c r="AI33" s="8" t="s">
        <v>146</v>
      </c>
    </row>
    <row r="34" ht="15.75" customHeight="1">
      <c r="B34" s="2" t="s">
        <v>147</v>
      </c>
      <c r="D34" s="2" t="s">
        <v>86</v>
      </c>
      <c r="E34" s="2" t="s">
        <v>148</v>
      </c>
      <c r="F34" s="11"/>
      <c r="G34" s="12"/>
      <c r="H34" s="13">
        <v>3000.0</v>
      </c>
      <c r="I34" s="2">
        <v>3.0</v>
      </c>
      <c r="K34" s="10">
        <f t="shared" si="1"/>
        <v>3</v>
      </c>
      <c r="L34" s="12">
        <f t="shared" si="2"/>
        <v>9000</v>
      </c>
      <c r="M34" s="12" t="str">
        <f t="shared" si="3"/>
        <v/>
      </c>
      <c r="N34" s="12" t="str">
        <f t="shared" si="4"/>
        <v/>
      </c>
      <c r="O34" s="12" t="str">
        <f t="shared" si="5"/>
        <v/>
      </c>
      <c r="AI34" s="8" t="s">
        <v>149</v>
      </c>
    </row>
    <row r="35" ht="15.75" customHeight="1">
      <c r="A35" s="2">
        <v>2.1100907E8</v>
      </c>
      <c r="B35" s="2" t="s">
        <v>150</v>
      </c>
      <c r="D35" s="2" t="s">
        <v>88</v>
      </c>
      <c r="E35" s="2" t="s">
        <v>79</v>
      </c>
      <c r="F35" s="11"/>
      <c r="G35" s="12"/>
      <c r="H35" s="13">
        <v>4000.0</v>
      </c>
      <c r="I35" s="2">
        <v>7.0</v>
      </c>
      <c r="K35" s="10">
        <f t="shared" si="1"/>
        <v>7</v>
      </c>
      <c r="L35" s="12">
        <f t="shared" si="2"/>
        <v>28000</v>
      </c>
      <c r="M35" s="12">
        <f t="shared" si="3"/>
        <v>0</v>
      </c>
      <c r="N35" s="12">
        <f t="shared" si="4"/>
        <v>0</v>
      </c>
      <c r="O35" s="12">
        <f t="shared" si="5"/>
        <v>0</v>
      </c>
      <c r="AI35" s="8" t="s">
        <v>151</v>
      </c>
    </row>
    <row r="36" ht="15.75" customHeight="1">
      <c r="B36" s="2" t="s">
        <v>152</v>
      </c>
      <c r="E36" s="2" t="s">
        <v>79</v>
      </c>
      <c r="F36" s="11"/>
      <c r="G36" s="12"/>
      <c r="H36" s="13">
        <v>1000.0</v>
      </c>
      <c r="I36" s="2">
        <v>16.0</v>
      </c>
      <c r="K36" s="10">
        <f t="shared" si="1"/>
        <v>16</v>
      </c>
      <c r="L36" s="12">
        <f t="shared" si="2"/>
        <v>16000</v>
      </c>
      <c r="M36" s="12" t="str">
        <f t="shared" si="3"/>
        <v/>
      </c>
      <c r="N36" s="12" t="str">
        <f t="shared" si="4"/>
        <v/>
      </c>
      <c r="O36" s="12" t="str">
        <f t="shared" si="5"/>
        <v/>
      </c>
      <c r="AI36" s="8" t="s">
        <v>153</v>
      </c>
    </row>
    <row r="37" ht="15.75" customHeight="1">
      <c r="B37" s="2" t="s">
        <v>154</v>
      </c>
      <c r="E37" s="2" t="s">
        <v>79</v>
      </c>
      <c r="F37" s="11"/>
      <c r="G37" s="12"/>
      <c r="H37" s="13">
        <v>500.0</v>
      </c>
      <c r="I37" s="2">
        <v>15.0</v>
      </c>
      <c r="K37" s="10">
        <f t="shared" si="1"/>
        <v>15</v>
      </c>
      <c r="L37" s="12">
        <f t="shared" si="2"/>
        <v>7500</v>
      </c>
      <c r="M37" s="12" t="str">
        <f t="shared" si="3"/>
        <v/>
      </c>
      <c r="N37" s="12" t="str">
        <f t="shared" si="4"/>
        <v/>
      </c>
      <c r="O37" s="12" t="str">
        <f t="shared" si="5"/>
        <v/>
      </c>
      <c r="AI37" s="8" t="s">
        <v>155</v>
      </c>
    </row>
    <row r="38" ht="15.75" customHeight="1">
      <c r="B38" s="2" t="s">
        <v>156</v>
      </c>
      <c r="D38" s="2" t="s">
        <v>86</v>
      </c>
      <c r="E38" s="2" t="s">
        <v>84</v>
      </c>
      <c r="F38" s="11"/>
      <c r="G38" s="12"/>
      <c r="H38" s="13">
        <v>1000.0</v>
      </c>
      <c r="I38" s="2">
        <v>6.0</v>
      </c>
      <c r="K38" s="10">
        <f t="shared" si="1"/>
        <v>6</v>
      </c>
      <c r="L38" s="12">
        <f t="shared" si="2"/>
        <v>6000</v>
      </c>
      <c r="M38" s="12" t="str">
        <f t="shared" si="3"/>
        <v/>
      </c>
      <c r="N38" s="12" t="str">
        <f t="shared" si="4"/>
        <v/>
      </c>
      <c r="O38" s="12" t="str">
        <f t="shared" si="5"/>
        <v/>
      </c>
      <c r="AI38" s="8" t="s">
        <v>157</v>
      </c>
    </row>
    <row r="39" ht="15.75" customHeight="1">
      <c r="A39" s="2">
        <v>5.31601178E8</v>
      </c>
      <c r="B39" s="2" t="s">
        <v>158</v>
      </c>
      <c r="D39" s="2" t="s">
        <v>88</v>
      </c>
      <c r="E39" s="2" t="s">
        <v>84</v>
      </c>
      <c r="F39" s="11"/>
      <c r="G39" s="12"/>
      <c r="H39" s="13">
        <v>500.0</v>
      </c>
      <c r="I39" s="2">
        <v>105.0</v>
      </c>
      <c r="K39" s="10">
        <f t="shared" si="1"/>
        <v>105</v>
      </c>
      <c r="L39" s="12">
        <f t="shared" si="2"/>
        <v>52500</v>
      </c>
      <c r="M39" s="12">
        <f t="shared" si="3"/>
        <v>0</v>
      </c>
      <c r="N39" s="12">
        <f t="shared" si="4"/>
        <v>0</v>
      </c>
      <c r="O39" s="12">
        <f t="shared" si="5"/>
        <v>0</v>
      </c>
      <c r="AI39" s="8" t="s">
        <v>159</v>
      </c>
    </row>
    <row r="40" ht="15.75" customHeight="1">
      <c r="A40" s="2" t="s">
        <v>160</v>
      </c>
      <c r="B40" s="2" t="s">
        <v>161</v>
      </c>
      <c r="D40" s="2" t="s">
        <v>54</v>
      </c>
      <c r="E40" s="2" t="s">
        <v>84</v>
      </c>
      <c r="F40" s="11"/>
      <c r="G40" s="12"/>
      <c r="H40" s="13">
        <v>200.0</v>
      </c>
      <c r="I40" s="2">
        <v>214.0</v>
      </c>
      <c r="K40" s="10">
        <f t="shared" si="1"/>
        <v>214</v>
      </c>
      <c r="L40" s="12">
        <f t="shared" si="2"/>
        <v>42800</v>
      </c>
      <c r="M40" s="12">
        <f t="shared" si="3"/>
        <v>0</v>
      </c>
      <c r="N40" s="12">
        <f t="shared" si="4"/>
        <v>0</v>
      </c>
      <c r="O40" s="12">
        <f t="shared" si="5"/>
        <v>0</v>
      </c>
      <c r="AI40" s="8" t="s">
        <v>162</v>
      </c>
    </row>
    <row r="41" ht="15.75" customHeight="1">
      <c r="A41" s="2">
        <v>6.64502218E8</v>
      </c>
      <c r="B41" s="2" t="s">
        <v>163</v>
      </c>
      <c r="D41" s="2" t="s">
        <v>78</v>
      </c>
      <c r="E41" s="2" t="s">
        <v>84</v>
      </c>
      <c r="F41" s="11"/>
      <c r="G41" s="12"/>
      <c r="H41" s="13">
        <v>1000.0</v>
      </c>
      <c r="I41" s="2">
        <v>10.0</v>
      </c>
      <c r="K41" s="10">
        <f t="shared" si="1"/>
        <v>10</v>
      </c>
      <c r="L41" s="12">
        <f t="shared" si="2"/>
        <v>10000</v>
      </c>
      <c r="M41" s="12">
        <f t="shared" si="3"/>
        <v>0</v>
      </c>
      <c r="N41" s="12">
        <f t="shared" si="4"/>
        <v>0</v>
      </c>
      <c r="O41" s="12">
        <f t="shared" si="5"/>
        <v>0</v>
      </c>
      <c r="AI41" s="8" t="s">
        <v>164</v>
      </c>
    </row>
    <row r="42" ht="15.75" customHeight="1">
      <c r="B42" s="2" t="s">
        <v>165</v>
      </c>
      <c r="D42" s="2" t="s">
        <v>78</v>
      </c>
      <c r="E42" s="2" t="s">
        <v>148</v>
      </c>
      <c r="F42" s="11"/>
      <c r="G42" s="12"/>
      <c r="H42" s="13">
        <v>20000.0</v>
      </c>
      <c r="I42" s="2">
        <v>1.0</v>
      </c>
      <c r="K42" s="10">
        <f t="shared" si="1"/>
        <v>1</v>
      </c>
      <c r="L42" s="12">
        <f t="shared" si="2"/>
        <v>20000</v>
      </c>
      <c r="M42" s="12" t="str">
        <f t="shared" si="3"/>
        <v/>
      </c>
      <c r="N42" s="12" t="str">
        <f t="shared" si="4"/>
        <v/>
      </c>
      <c r="O42" s="12" t="str">
        <f t="shared" si="5"/>
        <v/>
      </c>
      <c r="AI42" s="8" t="s">
        <v>166</v>
      </c>
    </row>
    <row r="43" ht="15.75" customHeight="1">
      <c r="A43" s="2">
        <v>4.53471125E8</v>
      </c>
      <c r="B43" s="2" t="s">
        <v>167</v>
      </c>
      <c r="D43" s="2" t="s">
        <v>135</v>
      </c>
      <c r="E43" s="2" t="s">
        <v>79</v>
      </c>
      <c r="F43" s="11"/>
      <c r="G43" s="12"/>
      <c r="H43" s="13">
        <v>100000.0</v>
      </c>
      <c r="I43" s="2">
        <v>1.0</v>
      </c>
      <c r="K43" s="10">
        <f t="shared" si="1"/>
        <v>1</v>
      </c>
      <c r="L43" s="12">
        <f t="shared" si="2"/>
        <v>100000</v>
      </c>
      <c r="M43" s="12">
        <f t="shared" si="3"/>
        <v>0</v>
      </c>
      <c r="N43" s="12">
        <f t="shared" si="4"/>
        <v>0</v>
      </c>
      <c r="O43" s="12">
        <f t="shared" si="5"/>
        <v>0</v>
      </c>
      <c r="AI43" s="8" t="s">
        <v>168</v>
      </c>
    </row>
    <row r="44" ht="15.75" customHeight="1">
      <c r="A44" s="2">
        <v>4933843.0</v>
      </c>
      <c r="B44" s="2" t="s">
        <v>169</v>
      </c>
      <c r="D44" s="2" t="s">
        <v>170</v>
      </c>
      <c r="E44" s="2" t="s">
        <v>148</v>
      </c>
      <c r="F44" s="11"/>
      <c r="G44" s="12"/>
      <c r="H44" s="13">
        <v>2500.0</v>
      </c>
      <c r="I44" s="2">
        <v>2.0</v>
      </c>
      <c r="K44" s="10">
        <f t="shared" si="1"/>
        <v>2</v>
      </c>
      <c r="L44" s="12">
        <f t="shared" si="2"/>
        <v>5000</v>
      </c>
      <c r="M44" s="12">
        <f t="shared" si="3"/>
        <v>0</v>
      </c>
      <c r="N44" s="12">
        <f t="shared" si="4"/>
        <v>0</v>
      </c>
      <c r="O44" s="12">
        <f t="shared" si="5"/>
        <v>0</v>
      </c>
      <c r="AI44" s="8" t="s">
        <v>171</v>
      </c>
    </row>
    <row r="45" ht="15.75" customHeight="1">
      <c r="A45" s="2">
        <v>3.163353803E10</v>
      </c>
      <c r="B45" s="2" t="s">
        <v>172</v>
      </c>
      <c r="D45" s="2" t="s">
        <v>54</v>
      </c>
      <c r="E45" s="2" t="s">
        <v>68</v>
      </c>
      <c r="F45" s="11"/>
      <c r="G45" s="12"/>
      <c r="H45" s="13">
        <v>10000.0</v>
      </c>
      <c r="I45" s="2">
        <v>3.0</v>
      </c>
      <c r="K45" s="10">
        <f t="shared" si="1"/>
        <v>3</v>
      </c>
      <c r="L45" s="12">
        <f t="shared" si="2"/>
        <v>30000</v>
      </c>
      <c r="M45" s="12">
        <f t="shared" si="3"/>
        <v>0</v>
      </c>
      <c r="N45" s="12">
        <f t="shared" si="4"/>
        <v>0</v>
      </c>
      <c r="O45" s="12">
        <f t="shared" si="5"/>
        <v>0</v>
      </c>
      <c r="AI45" s="8" t="s">
        <v>173</v>
      </c>
    </row>
    <row r="46" ht="15.75" customHeight="1">
      <c r="A46" s="2">
        <v>3.16300350108805E14</v>
      </c>
      <c r="B46" s="2" t="s">
        <v>174</v>
      </c>
      <c r="D46" s="2" t="s">
        <v>175</v>
      </c>
      <c r="E46" s="2" t="s">
        <v>68</v>
      </c>
      <c r="F46" s="11"/>
      <c r="G46" s="12"/>
      <c r="H46" s="13">
        <v>8000.0</v>
      </c>
      <c r="I46" s="2">
        <v>9.0</v>
      </c>
      <c r="K46" s="10">
        <f t="shared" si="1"/>
        <v>9</v>
      </c>
      <c r="L46" s="12">
        <f t="shared" si="2"/>
        <v>72000</v>
      </c>
      <c r="M46" s="12">
        <f t="shared" si="3"/>
        <v>0</v>
      </c>
      <c r="N46" s="12">
        <f t="shared" si="4"/>
        <v>0</v>
      </c>
      <c r="O46" s="12">
        <f t="shared" si="5"/>
        <v>0</v>
      </c>
      <c r="AI46" s="8" t="s">
        <v>176</v>
      </c>
    </row>
    <row r="47" ht="15.75" customHeight="1">
      <c r="B47" s="2" t="s">
        <v>177</v>
      </c>
      <c r="D47" s="2" t="s">
        <v>54</v>
      </c>
      <c r="E47" s="2" t="s">
        <v>84</v>
      </c>
      <c r="F47" s="11"/>
      <c r="G47" s="12"/>
      <c r="H47" s="13">
        <v>150000.0</v>
      </c>
      <c r="I47" s="2">
        <v>2.0</v>
      </c>
      <c r="K47" s="10">
        <f t="shared" si="1"/>
        <v>2</v>
      </c>
      <c r="L47" s="12">
        <f t="shared" si="2"/>
        <v>300000</v>
      </c>
      <c r="M47" s="12" t="str">
        <f t="shared" si="3"/>
        <v/>
      </c>
      <c r="N47" s="12" t="str">
        <f t="shared" si="4"/>
        <v/>
      </c>
      <c r="O47" s="12" t="str">
        <f t="shared" si="5"/>
        <v/>
      </c>
      <c r="AI47" s="8" t="s">
        <v>178</v>
      </c>
    </row>
    <row r="48" ht="15.75" customHeight="1">
      <c r="A48" s="2">
        <v>3.16300811092E12</v>
      </c>
      <c r="B48" s="2" t="s">
        <v>179</v>
      </c>
      <c r="D48" s="2" t="s">
        <v>54</v>
      </c>
      <c r="E48" s="2" t="s">
        <v>79</v>
      </c>
      <c r="F48" s="11"/>
      <c r="G48" s="12"/>
      <c r="H48" s="13">
        <v>12000.0</v>
      </c>
      <c r="I48" s="2">
        <v>1.0</v>
      </c>
      <c r="K48" s="10">
        <f t="shared" si="1"/>
        <v>1</v>
      </c>
      <c r="L48" s="12">
        <f t="shared" si="2"/>
        <v>12000</v>
      </c>
      <c r="M48" s="12">
        <f t="shared" si="3"/>
        <v>0</v>
      </c>
      <c r="N48" s="12">
        <f t="shared" si="4"/>
        <v>0</v>
      </c>
      <c r="O48" s="12">
        <f t="shared" si="5"/>
        <v>0</v>
      </c>
      <c r="AI48" s="8" t="s">
        <v>180</v>
      </c>
    </row>
    <row r="49" ht="15.75" customHeight="1">
      <c r="B49" s="2" t="s">
        <v>181</v>
      </c>
      <c r="D49" s="2" t="s">
        <v>182</v>
      </c>
      <c r="E49" s="2" t="s">
        <v>183</v>
      </c>
      <c r="F49" s="11"/>
      <c r="G49" s="12"/>
      <c r="H49" s="13">
        <v>1000.0</v>
      </c>
      <c r="I49" s="2">
        <v>2.0</v>
      </c>
      <c r="K49" s="10">
        <f t="shared" si="1"/>
        <v>2</v>
      </c>
      <c r="L49" s="12">
        <f t="shared" si="2"/>
        <v>2000</v>
      </c>
      <c r="M49" s="12" t="str">
        <f t="shared" si="3"/>
        <v/>
      </c>
      <c r="N49" s="12" t="str">
        <f t="shared" si="4"/>
        <v/>
      </c>
      <c r="O49" s="12" t="str">
        <f t="shared" si="5"/>
        <v/>
      </c>
      <c r="AI49" s="8" t="s">
        <v>184</v>
      </c>
    </row>
    <row r="50" ht="15.75" customHeight="1">
      <c r="A50" s="2">
        <v>2.2060035020911E14</v>
      </c>
      <c r="B50" s="2" t="s">
        <v>185</v>
      </c>
      <c r="D50" s="2" t="s">
        <v>175</v>
      </c>
      <c r="E50" s="2" t="s">
        <v>68</v>
      </c>
      <c r="F50" s="11"/>
      <c r="G50" s="12"/>
      <c r="H50" s="13">
        <v>5000.0</v>
      </c>
      <c r="I50" s="2">
        <v>49.0</v>
      </c>
      <c r="K50" s="10">
        <f t="shared" si="1"/>
        <v>49</v>
      </c>
      <c r="L50" s="12">
        <f t="shared" si="2"/>
        <v>245000</v>
      </c>
      <c r="M50" s="12">
        <f t="shared" si="3"/>
        <v>0</v>
      </c>
      <c r="N50" s="12">
        <f t="shared" si="4"/>
        <v>0</v>
      </c>
      <c r="O50" s="12">
        <f t="shared" si="5"/>
        <v>0</v>
      </c>
      <c r="AI50" s="8" t="s">
        <v>186</v>
      </c>
    </row>
    <row r="51" ht="15.75" customHeight="1">
      <c r="A51" s="2">
        <v>4.69350107E9</v>
      </c>
      <c r="B51" s="2" t="s">
        <v>187</v>
      </c>
      <c r="C51" s="2" t="s">
        <v>93</v>
      </c>
      <c r="D51" s="2" t="s">
        <v>175</v>
      </c>
      <c r="E51" s="2" t="s">
        <v>68</v>
      </c>
      <c r="F51" s="11"/>
      <c r="G51" s="12"/>
      <c r="H51" s="13">
        <v>20000.0</v>
      </c>
      <c r="I51" s="2">
        <v>13.0</v>
      </c>
      <c r="K51" s="10">
        <f t="shared" si="1"/>
        <v>13</v>
      </c>
      <c r="L51" s="12">
        <f t="shared" si="2"/>
        <v>260000</v>
      </c>
      <c r="M51" s="12">
        <f t="shared" si="3"/>
        <v>0</v>
      </c>
      <c r="N51" s="12">
        <f t="shared" si="4"/>
        <v>0</v>
      </c>
      <c r="O51" s="12">
        <f t="shared" si="5"/>
        <v>0</v>
      </c>
      <c r="AI51" s="8" t="s">
        <v>188</v>
      </c>
    </row>
    <row r="52" ht="15.75" customHeight="1">
      <c r="A52" s="2">
        <v>3.151350204E10</v>
      </c>
      <c r="B52" s="2" t="s">
        <v>189</v>
      </c>
      <c r="D52" s="2" t="s">
        <v>54</v>
      </c>
      <c r="E52" s="2" t="s">
        <v>68</v>
      </c>
      <c r="F52" s="11"/>
      <c r="G52" s="12"/>
      <c r="H52" s="13">
        <v>8000.0</v>
      </c>
      <c r="I52" s="2">
        <v>15.0</v>
      </c>
      <c r="K52" s="10">
        <f t="shared" si="1"/>
        <v>15</v>
      </c>
      <c r="L52" s="12">
        <f t="shared" si="2"/>
        <v>120000</v>
      </c>
      <c r="M52" s="12">
        <f t="shared" si="3"/>
        <v>0</v>
      </c>
      <c r="N52" s="12">
        <f t="shared" si="4"/>
        <v>0</v>
      </c>
      <c r="O52" s="12">
        <f t="shared" si="5"/>
        <v>0</v>
      </c>
      <c r="AI52" s="8" t="s">
        <v>190</v>
      </c>
    </row>
    <row r="53" ht="15.75" customHeight="1">
      <c r="A53" s="2">
        <v>4.69350204E9</v>
      </c>
      <c r="B53" s="2" t="s">
        <v>191</v>
      </c>
      <c r="D53" s="2" t="s">
        <v>54</v>
      </c>
      <c r="E53" s="2" t="s">
        <v>68</v>
      </c>
      <c r="F53" s="11"/>
      <c r="G53" s="12"/>
      <c r="H53" s="13">
        <v>8000.0</v>
      </c>
      <c r="I53" s="2">
        <v>9.0</v>
      </c>
      <c r="K53" s="10">
        <f t="shared" si="1"/>
        <v>9</v>
      </c>
      <c r="L53" s="12">
        <f t="shared" si="2"/>
        <v>72000</v>
      </c>
      <c r="M53" s="12">
        <f t="shared" si="3"/>
        <v>0</v>
      </c>
      <c r="N53" s="12">
        <f t="shared" si="4"/>
        <v>0</v>
      </c>
      <c r="O53" s="12">
        <f t="shared" si="5"/>
        <v>0</v>
      </c>
      <c r="AI53" s="8" t="s">
        <v>192</v>
      </c>
    </row>
    <row r="54" ht="15.75" customHeight="1">
      <c r="A54" s="2">
        <v>3.16300811001007E14</v>
      </c>
      <c r="B54" s="2" t="s">
        <v>193</v>
      </c>
      <c r="D54" s="2" t="s">
        <v>93</v>
      </c>
      <c r="E54" s="2" t="s">
        <v>148</v>
      </c>
      <c r="F54" s="11"/>
      <c r="G54" s="12"/>
      <c r="H54" s="13">
        <v>65000.0</v>
      </c>
      <c r="I54" s="2">
        <v>1.0</v>
      </c>
      <c r="K54" s="10">
        <f t="shared" si="1"/>
        <v>1</v>
      </c>
      <c r="L54" s="12">
        <f t="shared" si="2"/>
        <v>65000</v>
      </c>
      <c r="M54" s="12">
        <f t="shared" si="3"/>
        <v>0</v>
      </c>
      <c r="N54" s="12">
        <f t="shared" si="4"/>
        <v>0</v>
      </c>
      <c r="O54" s="12">
        <f t="shared" si="5"/>
        <v>0</v>
      </c>
      <c r="AI54" s="8" t="s">
        <v>194</v>
      </c>
    </row>
    <row r="55" ht="15.75" customHeight="1">
      <c r="A55" s="2" t="s">
        <v>195</v>
      </c>
      <c r="B55" s="2" t="s">
        <v>196</v>
      </c>
      <c r="D55" s="2" t="s">
        <v>54</v>
      </c>
      <c r="E55" s="2" t="s">
        <v>79</v>
      </c>
      <c r="F55" s="11"/>
      <c r="G55" s="12"/>
      <c r="H55" s="13">
        <v>60000.0</v>
      </c>
      <c r="I55" s="2">
        <v>1.0</v>
      </c>
      <c r="K55" s="10">
        <f t="shared" si="1"/>
        <v>1</v>
      </c>
      <c r="L55" s="12">
        <f t="shared" si="2"/>
        <v>60000</v>
      </c>
      <c r="M55" s="12">
        <f t="shared" si="3"/>
        <v>0</v>
      </c>
      <c r="N55" s="12">
        <f t="shared" si="4"/>
        <v>0</v>
      </c>
      <c r="O55" s="12">
        <f t="shared" si="5"/>
        <v>0</v>
      </c>
      <c r="AI55" s="8" t="s">
        <v>197</v>
      </c>
    </row>
    <row r="56" ht="15.75" customHeight="1">
      <c r="A56" s="2">
        <v>3302.0</v>
      </c>
      <c r="B56" s="2" t="s">
        <v>198</v>
      </c>
      <c r="D56" s="2" t="s">
        <v>81</v>
      </c>
      <c r="E56" s="2" t="s">
        <v>79</v>
      </c>
      <c r="F56" s="11"/>
      <c r="G56" s="12"/>
      <c r="H56" s="13">
        <v>70000.0</v>
      </c>
      <c r="I56" s="2">
        <v>1.0</v>
      </c>
      <c r="K56" s="10">
        <f t="shared" si="1"/>
        <v>1</v>
      </c>
      <c r="L56" s="12">
        <f t="shared" si="2"/>
        <v>70000</v>
      </c>
      <c r="M56" s="12">
        <f t="shared" si="3"/>
        <v>0</v>
      </c>
      <c r="N56" s="12">
        <f t="shared" si="4"/>
        <v>0</v>
      </c>
      <c r="O56" s="12">
        <f t="shared" si="5"/>
        <v>0</v>
      </c>
      <c r="AI56" s="8" t="s">
        <v>199</v>
      </c>
    </row>
    <row r="57" ht="15.75" customHeight="1">
      <c r="A57" s="2">
        <v>296515.0</v>
      </c>
      <c r="B57" s="2" t="s">
        <v>200</v>
      </c>
      <c r="D57" s="2" t="s">
        <v>54</v>
      </c>
      <c r="E57" s="2" t="s">
        <v>201</v>
      </c>
      <c r="F57" s="11"/>
      <c r="G57" s="12"/>
      <c r="H57" s="13">
        <v>2000.0</v>
      </c>
      <c r="I57" s="2">
        <v>8.0</v>
      </c>
      <c r="K57" s="10">
        <f t="shared" si="1"/>
        <v>8</v>
      </c>
      <c r="L57" s="12">
        <f t="shared" si="2"/>
        <v>16000</v>
      </c>
      <c r="M57" s="12">
        <f t="shared" si="3"/>
        <v>0</v>
      </c>
      <c r="N57" s="12">
        <f t="shared" si="4"/>
        <v>0</v>
      </c>
      <c r="O57" s="12">
        <f t="shared" si="5"/>
        <v>0</v>
      </c>
      <c r="AI57" s="8" t="s">
        <v>202</v>
      </c>
    </row>
    <row r="58" ht="15.75" customHeight="1">
      <c r="A58" s="2">
        <v>3.1513510178E10</v>
      </c>
      <c r="B58" s="2" t="s">
        <v>203</v>
      </c>
      <c r="D58" s="2" t="s">
        <v>88</v>
      </c>
      <c r="E58" s="2" t="s">
        <v>68</v>
      </c>
      <c r="F58" s="11"/>
      <c r="G58" s="12"/>
      <c r="H58" s="13">
        <v>2000.0</v>
      </c>
      <c r="I58" s="2">
        <v>6.0</v>
      </c>
      <c r="K58" s="10">
        <f t="shared" si="1"/>
        <v>6</v>
      </c>
      <c r="L58" s="12">
        <f t="shared" si="2"/>
        <v>12000</v>
      </c>
      <c r="M58" s="12">
        <f t="shared" si="3"/>
        <v>0</v>
      </c>
      <c r="N58" s="12">
        <f t="shared" si="4"/>
        <v>0</v>
      </c>
      <c r="O58" s="12">
        <f t="shared" si="5"/>
        <v>0</v>
      </c>
      <c r="AI58" s="8" t="s">
        <v>204</v>
      </c>
    </row>
    <row r="59" ht="15.75" customHeight="1">
      <c r="A59" s="2">
        <v>4.02100701E9</v>
      </c>
      <c r="B59" s="2" t="s">
        <v>205</v>
      </c>
      <c r="D59" s="2" t="s">
        <v>54</v>
      </c>
      <c r="E59" s="2" t="s">
        <v>79</v>
      </c>
      <c r="F59" s="11"/>
      <c r="G59" s="12"/>
      <c r="H59" s="13">
        <v>3000.0</v>
      </c>
      <c r="I59" s="2">
        <v>2.0</v>
      </c>
      <c r="K59" s="10">
        <f t="shared" si="1"/>
        <v>2</v>
      </c>
      <c r="L59" s="12">
        <f t="shared" si="2"/>
        <v>6000</v>
      </c>
      <c r="M59" s="12">
        <f t="shared" si="3"/>
        <v>0</v>
      </c>
      <c r="N59" s="12">
        <f t="shared" si="4"/>
        <v>0</v>
      </c>
      <c r="O59" s="12">
        <f t="shared" si="5"/>
        <v>0</v>
      </c>
      <c r="AI59" s="8" t="s">
        <v>206</v>
      </c>
    </row>
    <row r="60" ht="15.75" customHeight="1">
      <c r="B60" s="2" t="s">
        <v>207</v>
      </c>
      <c r="D60" s="2" t="s">
        <v>54</v>
      </c>
      <c r="E60" s="2" t="s">
        <v>201</v>
      </c>
      <c r="F60" s="11"/>
      <c r="G60" s="12"/>
      <c r="H60" s="13">
        <v>50.0</v>
      </c>
      <c r="I60" s="2">
        <v>61.0</v>
      </c>
      <c r="K60" s="10">
        <f t="shared" si="1"/>
        <v>61</v>
      </c>
      <c r="L60" s="12">
        <f t="shared" si="2"/>
        <v>3050</v>
      </c>
      <c r="M60" s="12" t="str">
        <f t="shared" si="3"/>
        <v/>
      </c>
      <c r="N60" s="12" t="str">
        <f t="shared" si="4"/>
        <v/>
      </c>
      <c r="O60" s="12" t="str">
        <f t="shared" si="5"/>
        <v/>
      </c>
      <c r="AI60" s="8" t="s">
        <v>208</v>
      </c>
    </row>
    <row r="61" ht="15.75" customHeight="1">
      <c r="A61" s="2" t="s">
        <v>209</v>
      </c>
      <c r="B61" s="2" t="s">
        <v>210</v>
      </c>
      <c r="D61" s="2" t="s">
        <v>86</v>
      </c>
      <c r="E61" s="2" t="s">
        <v>84</v>
      </c>
      <c r="F61" s="11"/>
      <c r="G61" s="12"/>
      <c r="H61" s="13">
        <v>120000.0</v>
      </c>
      <c r="I61" s="2">
        <v>1.0</v>
      </c>
      <c r="K61" s="10">
        <f t="shared" si="1"/>
        <v>1</v>
      </c>
      <c r="L61" s="12">
        <f t="shared" si="2"/>
        <v>120000</v>
      </c>
      <c r="M61" s="12">
        <f t="shared" si="3"/>
        <v>0</v>
      </c>
      <c r="N61" s="12">
        <f t="shared" si="4"/>
        <v>0</v>
      </c>
      <c r="O61" s="12">
        <f t="shared" si="5"/>
        <v>0</v>
      </c>
      <c r="AI61" s="8" t="s">
        <v>211</v>
      </c>
    </row>
    <row r="62" ht="15.75" customHeight="1">
      <c r="A62" s="2" t="s">
        <v>212</v>
      </c>
      <c r="B62" s="2" t="s">
        <v>213</v>
      </c>
      <c r="D62" s="2" t="s">
        <v>54</v>
      </c>
      <c r="E62" s="2" t="s">
        <v>84</v>
      </c>
      <c r="F62" s="11"/>
      <c r="G62" s="12"/>
      <c r="H62" s="13">
        <v>500.0</v>
      </c>
      <c r="I62" s="2">
        <v>10.0</v>
      </c>
      <c r="K62" s="10">
        <f t="shared" si="1"/>
        <v>10</v>
      </c>
      <c r="L62" s="12">
        <f t="shared" si="2"/>
        <v>5000</v>
      </c>
      <c r="M62" s="12">
        <f t="shared" si="3"/>
        <v>0</v>
      </c>
      <c r="N62" s="12">
        <f t="shared" si="4"/>
        <v>0</v>
      </c>
      <c r="O62" s="12">
        <f t="shared" si="5"/>
        <v>0</v>
      </c>
      <c r="AI62" s="8" t="s">
        <v>214</v>
      </c>
    </row>
    <row r="63" ht="15.75" customHeight="1">
      <c r="A63" s="2" t="s">
        <v>215</v>
      </c>
      <c r="B63" s="2" t="s">
        <v>213</v>
      </c>
      <c r="D63" s="2" t="s">
        <v>216</v>
      </c>
      <c r="E63" s="2" t="s">
        <v>84</v>
      </c>
      <c r="F63" s="11"/>
      <c r="G63" s="12"/>
      <c r="H63" s="13">
        <v>500.0</v>
      </c>
      <c r="I63" s="2">
        <v>7.0</v>
      </c>
      <c r="K63" s="10">
        <f t="shared" si="1"/>
        <v>7</v>
      </c>
      <c r="L63" s="12">
        <f t="shared" si="2"/>
        <v>3500</v>
      </c>
      <c r="M63" s="12">
        <f t="shared" si="3"/>
        <v>0</v>
      </c>
      <c r="N63" s="12">
        <f t="shared" si="4"/>
        <v>0</v>
      </c>
      <c r="O63" s="12">
        <f t="shared" si="5"/>
        <v>0</v>
      </c>
      <c r="AI63" s="8" t="s">
        <v>217</v>
      </c>
    </row>
    <row r="64" ht="15.75" customHeight="1">
      <c r="A64" s="2">
        <v>5.311702126E9</v>
      </c>
      <c r="B64" s="2" t="s">
        <v>218</v>
      </c>
      <c r="D64" s="2" t="s">
        <v>78</v>
      </c>
      <c r="E64" s="2" t="s">
        <v>84</v>
      </c>
      <c r="F64" s="11"/>
      <c r="G64" s="12"/>
      <c r="H64" s="13">
        <v>1500.0</v>
      </c>
      <c r="I64" s="2">
        <v>9.0</v>
      </c>
      <c r="K64" s="10">
        <f t="shared" si="1"/>
        <v>9</v>
      </c>
      <c r="L64" s="12">
        <f t="shared" si="2"/>
        <v>13500</v>
      </c>
      <c r="M64" s="12">
        <f t="shared" si="3"/>
        <v>0</v>
      </c>
      <c r="N64" s="12">
        <f t="shared" si="4"/>
        <v>0</v>
      </c>
      <c r="O64" s="12">
        <f t="shared" si="5"/>
        <v>0</v>
      </c>
      <c r="AI64" s="8" t="s">
        <v>219</v>
      </c>
    </row>
    <row r="65" ht="15.75" customHeight="1">
      <c r="A65" s="2">
        <v>4.691701164E9</v>
      </c>
      <c r="B65" s="2" t="s">
        <v>220</v>
      </c>
      <c r="D65" s="2" t="s">
        <v>54</v>
      </c>
      <c r="E65" s="2" t="s">
        <v>84</v>
      </c>
      <c r="F65" s="11"/>
      <c r="G65" s="12"/>
      <c r="H65" s="13">
        <v>6000.0</v>
      </c>
      <c r="I65" s="2">
        <v>28.0</v>
      </c>
      <c r="K65" s="10">
        <f t="shared" si="1"/>
        <v>28</v>
      </c>
      <c r="L65" s="12">
        <f t="shared" si="2"/>
        <v>168000</v>
      </c>
      <c r="M65" s="12">
        <f t="shared" si="3"/>
        <v>0</v>
      </c>
      <c r="N65" s="12">
        <f t="shared" si="4"/>
        <v>0</v>
      </c>
      <c r="O65" s="12">
        <f t="shared" si="5"/>
        <v>0</v>
      </c>
      <c r="AI65" s="8" t="s">
        <v>221</v>
      </c>
    </row>
    <row r="66" ht="15.75" customHeight="1">
      <c r="B66" s="2" t="s">
        <v>222</v>
      </c>
      <c r="D66" s="2" t="s">
        <v>54</v>
      </c>
      <c r="E66" s="2" t="s">
        <v>84</v>
      </c>
      <c r="F66" s="11"/>
      <c r="G66" s="12"/>
      <c r="H66" s="13">
        <v>6000.0</v>
      </c>
      <c r="I66" s="2">
        <v>14.0</v>
      </c>
      <c r="K66" s="10">
        <f t="shared" si="1"/>
        <v>14</v>
      </c>
      <c r="L66" s="12">
        <f t="shared" si="2"/>
        <v>84000</v>
      </c>
      <c r="M66" s="12" t="str">
        <f t="shared" si="3"/>
        <v/>
      </c>
      <c r="N66" s="12" t="str">
        <f t="shared" si="4"/>
        <v/>
      </c>
      <c r="O66" s="12" t="str">
        <f t="shared" si="5"/>
        <v/>
      </c>
      <c r="AI66" s="8" t="s">
        <v>223</v>
      </c>
    </row>
    <row r="67" ht="15.75" customHeight="1">
      <c r="A67" s="2">
        <v>6.9003103024E12</v>
      </c>
      <c r="B67" s="2" t="s">
        <v>224</v>
      </c>
      <c r="D67" s="2" t="s">
        <v>54</v>
      </c>
      <c r="E67" s="2" t="s">
        <v>84</v>
      </c>
      <c r="F67" s="11"/>
      <c r="G67" s="12"/>
      <c r="H67" s="13">
        <v>1000.0</v>
      </c>
      <c r="I67" s="2">
        <v>5.0</v>
      </c>
      <c r="K67" s="10">
        <f t="shared" si="1"/>
        <v>5</v>
      </c>
      <c r="L67" s="12">
        <f t="shared" si="2"/>
        <v>5000</v>
      </c>
      <c r="M67" s="12">
        <f t="shared" si="3"/>
        <v>0</v>
      </c>
      <c r="N67" s="12">
        <f t="shared" si="4"/>
        <v>0</v>
      </c>
      <c r="O67" s="12">
        <f t="shared" si="5"/>
        <v>0</v>
      </c>
      <c r="AI67" s="8" t="s">
        <v>225</v>
      </c>
    </row>
    <row r="68" ht="15.75" customHeight="1">
      <c r="A68" s="2">
        <v>5.31008E8</v>
      </c>
      <c r="B68" s="2" t="s">
        <v>226</v>
      </c>
      <c r="D68" s="2" t="s">
        <v>86</v>
      </c>
      <c r="E68" s="2" t="s">
        <v>79</v>
      </c>
      <c r="F68" s="11"/>
      <c r="G68" s="12"/>
      <c r="H68" s="13">
        <v>4000.0</v>
      </c>
      <c r="I68" s="2">
        <v>6.0</v>
      </c>
      <c r="K68" s="10">
        <f t="shared" si="1"/>
        <v>6</v>
      </c>
      <c r="L68" s="12">
        <f t="shared" si="2"/>
        <v>24000</v>
      </c>
      <c r="M68" s="12">
        <f t="shared" si="3"/>
        <v>0</v>
      </c>
      <c r="N68" s="12">
        <f t="shared" si="4"/>
        <v>0</v>
      </c>
      <c r="O68" s="12">
        <f t="shared" si="5"/>
        <v>0</v>
      </c>
      <c r="AI68" s="8" t="s">
        <v>227</v>
      </c>
    </row>
    <row r="69" ht="15.75" customHeight="1">
      <c r="B69" s="2" t="s">
        <v>228</v>
      </c>
      <c r="D69" s="2" t="s">
        <v>54</v>
      </c>
      <c r="E69" s="2" t="s">
        <v>84</v>
      </c>
      <c r="F69" s="11"/>
      <c r="G69" s="12"/>
      <c r="H69" s="13">
        <v>3000.0</v>
      </c>
      <c r="I69" s="2">
        <v>8.0</v>
      </c>
      <c r="K69" s="10">
        <f t="shared" si="1"/>
        <v>8</v>
      </c>
      <c r="L69" s="12">
        <f t="shared" si="2"/>
        <v>24000</v>
      </c>
      <c r="M69" s="12" t="str">
        <f t="shared" si="3"/>
        <v/>
      </c>
      <c r="N69" s="12" t="str">
        <f t="shared" si="4"/>
        <v/>
      </c>
      <c r="O69" s="12" t="str">
        <f t="shared" si="5"/>
        <v/>
      </c>
      <c r="AI69" s="8" t="s">
        <v>229</v>
      </c>
    </row>
    <row r="70" ht="15.75" customHeight="1">
      <c r="A70" s="2">
        <v>2.1100907E8</v>
      </c>
      <c r="B70" s="2" t="s">
        <v>230</v>
      </c>
      <c r="D70" s="2" t="s">
        <v>88</v>
      </c>
      <c r="E70" s="2" t="s">
        <v>79</v>
      </c>
      <c r="F70" s="11"/>
      <c r="G70" s="12"/>
      <c r="H70" s="13">
        <v>2000.0</v>
      </c>
      <c r="I70" s="2">
        <v>3.0</v>
      </c>
      <c r="K70" s="10">
        <f t="shared" si="1"/>
        <v>3</v>
      </c>
      <c r="L70" s="12">
        <f t="shared" si="2"/>
        <v>6000</v>
      </c>
      <c r="M70" s="12">
        <f t="shared" si="3"/>
        <v>0</v>
      </c>
      <c r="N70" s="12">
        <f t="shared" si="4"/>
        <v>0</v>
      </c>
      <c r="O70" s="12">
        <f t="shared" si="5"/>
        <v>0</v>
      </c>
      <c r="AI70" s="8" t="s">
        <v>231</v>
      </c>
    </row>
    <row r="71" ht="15.75" customHeight="1">
      <c r="B71" s="2" t="s">
        <v>232</v>
      </c>
      <c r="D71" s="2" t="s">
        <v>54</v>
      </c>
      <c r="E71" s="2" t="s">
        <v>84</v>
      </c>
      <c r="F71" s="11"/>
      <c r="G71" s="12"/>
      <c r="H71" s="13">
        <v>3000.0</v>
      </c>
      <c r="I71" s="2">
        <v>3.0</v>
      </c>
      <c r="K71" s="10">
        <f t="shared" si="1"/>
        <v>3</v>
      </c>
      <c r="L71" s="12">
        <f t="shared" si="2"/>
        <v>9000</v>
      </c>
      <c r="M71" s="12" t="str">
        <f t="shared" si="3"/>
        <v/>
      </c>
      <c r="N71" s="12" t="str">
        <f t="shared" si="4"/>
        <v/>
      </c>
      <c r="O71" s="12" t="str">
        <f t="shared" si="5"/>
        <v/>
      </c>
      <c r="AI71" s="8" t="s">
        <v>233</v>
      </c>
    </row>
    <row r="72" ht="15.75" customHeight="1">
      <c r="A72" s="2">
        <v>4.17100015E9</v>
      </c>
      <c r="B72" s="2" t="s">
        <v>234</v>
      </c>
      <c r="D72" s="2" t="s">
        <v>88</v>
      </c>
      <c r="E72" s="2" t="s">
        <v>79</v>
      </c>
      <c r="F72" s="11"/>
      <c r="G72" s="12"/>
      <c r="H72" s="13">
        <v>15000.0</v>
      </c>
      <c r="I72" s="2">
        <v>1.0</v>
      </c>
      <c r="K72" s="10">
        <f t="shared" si="1"/>
        <v>1</v>
      </c>
      <c r="L72" s="12">
        <f t="shared" si="2"/>
        <v>15000</v>
      </c>
      <c r="M72" s="12">
        <f t="shared" si="3"/>
        <v>0</v>
      </c>
      <c r="N72" s="12">
        <f t="shared" si="4"/>
        <v>0</v>
      </c>
      <c r="O72" s="12">
        <f t="shared" si="5"/>
        <v>0</v>
      </c>
      <c r="AI72" s="8" t="s">
        <v>235</v>
      </c>
    </row>
    <row r="73" ht="15.75" customHeight="1">
      <c r="B73" s="2" t="s">
        <v>236</v>
      </c>
      <c r="D73" s="2" t="s">
        <v>54</v>
      </c>
      <c r="E73" s="2" t="s">
        <v>84</v>
      </c>
      <c r="F73" s="11"/>
      <c r="G73" s="12"/>
      <c r="H73" s="13">
        <v>3000.0</v>
      </c>
      <c r="I73" s="2">
        <v>20.0</v>
      </c>
      <c r="K73" s="10">
        <f t="shared" si="1"/>
        <v>20</v>
      </c>
      <c r="L73" s="12">
        <f t="shared" si="2"/>
        <v>60000</v>
      </c>
      <c r="M73" s="12" t="str">
        <f t="shared" si="3"/>
        <v/>
      </c>
      <c r="N73" s="12" t="str">
        <f t="shared" si="4"/>
        <v/>
      </c>
      <c r="O73" s="12" t="str">
        <f t="shared" si="5"/>
        <v/>
      </c>
      <c r="AI73" s="8" t="s">
        <v>237</v>
      </c>
    </row>
    <row r="74" ht="15.75" customHeight="1">
      <c r="A74" s="2">
        <v>4.17100015E9</v>
      </c>
      <c r="B74" s="2" t="s">
        <v>238</v>
      </c>
      <c r="D74" s="2" t="s">
        <v>88</v>
      </c>
      <c r="E74" s="2" t="s">
        <v>79</v>
      </c>
      <c r="F74" s="11"/>
      <c r="G74" s="12"/>
      <c r="H74" s="13">
        <v>1000.0</v>
      </c>
      <c r="I74" s="2">
        <v>6.0</v>
      </c>
      <c r="K74" s="10">
        <f t="shared" si="1"/>
        <v>6</v>
      </c>
      <c r="L74" s="12">
        <f t="shared" si="2"/>
        <v>6000</v>
      </c>
      <c r="M74" s="12">
        <f t="shared" si="3"/>
        <v>0</v>
      </c>
      <c r="N74" s="12">
        <f t="shared" si="4"/>
        <v>0</v>
      </c>
      <c r="O74" s="12">
        <f t="shared" si="5"/>
        <v>0</v>
      </c>
      <c r="AI74" s="8" t="s">
        <v>239</v>
      </c>
    </row>
    <row r="75" ht="15.75" customHeight="1">
      <c r="B75" s="2" t="s">
        <v>240</v>
      </c>
      <c r="E75" s="2" t="s">
        <v>82</v>
      </c>
      <c r="F75" s="11"/>
      <c r="G75" s="12"/>
      <c r="H75" s="13">
        <v>2000.0</v>
      </c>
      <c r="I75" s="2">
        <v>1.0</v>
      </c>
      <c r="K75" s="10">
        <f t="shared" si="1"/>
        <v>1</v>
      </c>
      <c r="L75" s="12">
        <f t="shared" si="2"/>
        <v>2000</v>
      </c>
      <c r="M75" s="12" t="str">
        <f t="shared" si="3"/>
        <v/>
      </c>
      <c r="N75" s="12" t="str">
        <f t="shared" si="4"/>
        <v/>
      </c>
      <c r="O75" s="12" t="str">
        <f t="shared" si="5"/>
        <v/>
      </c>
      <c r="AI75" s="8" t="s">
        <v>241</v>
      </c>
    </row>
    <row r="76" ht="15.75" customHeight="1">
      <c r="B76" s="2" t="s">
        <v>242</v>
      </c>
      <c r="D76" s="2" t="s">
        <v>54</v>
      </c>
      <c r="E76" s="2" t="s">
        <v>68</v>
      </c>
      <c r="F76" s="11"/>
      <c r="G76" s="12"/>
      <c r="H76" s="13">
        <v>3000.0</v>
      </c>
      <c r="I76" s="2">
        <v>11.0</v>
      </c>
      <c r="K76" s="10">
        <f t="shared" si="1"/>
        <v>11</v>
      </c>
      <c r="L76" s="12">
        <f t="shared" si="2"/>
        <v>33000</v>
      </c>
      <c r="M76" s="12" t="str">
        <f t="shared" si="3"/>
        <v/>
      </c>
      <c r="N76" s="12" t="str">
        <f t="shared" si="4"/>
        <v/>
      </c>
      <c r="O76" s="12" t="str">
        <f t="shared" si="5"/>
        <v/>
      </c>
      <c r="AI76" s="8" t="s">
        <v>243</v>
      </c>
    </row>
    <row r="77" ht="15.75" customHeight="1">
      <c r="B77" s="2" t="s">
        <v>244</v>
      </c>
      <c r="D77" s="2" t="s">
        <v>54</v>
      </c>
      <c r="E77" s="2" t="s">
        <v>84</v>
      </c>
      <c r="F77" s="11"/>
      <c r="G77" s="12"/>
      <c r="H77" s="13">
        <v>30000.0</v>
      </c>
      <c r="I77" s="2">
        <v>1.0</v>
      </c>
      <c r="K77" s="10">
        <f t="shared" si="1"/>
        <v>1</v>
      </c>
      <c r="L77" s="12">
        <f t="shared" si="2"/>
        <v>30000</v>
      </c>
      <c r="M77" s="12" t="str">
        <f t="shared" si="3"/>
        <v/>
      </c>
      <c r="N77" s="12" t="str">
        <f t="shared" si="4"/>
        <v/>
      </c>
      <c r="O77" s="12" t="str">
        <f t="shared" si="5"/>
        <v/>
      </c>
      <c r="AI77" s="8" t="s">
        <v>245</v>
      </c>
    </row>
    <row r="78" ht="15.75" customHeight="1">
      <c r="A78" s="2">
        <v>4.52170101522E11</v>
      </c>
      <c r="B78" s="2" t="s">
        <v>246</v>
      </c>
      <c r="D78" s="2" t="s">
        <v>54</v>
      </c>
      <c r="E78" s="2" t="s">
        <v>84</v>
      </c>
      <c r="F78" s="11"/>
      <c r="G78" s="12"/>
      <c r="H78" s="13">
        <v>65000.0</v>
      </c>
      <c r="I78" s="2">
        <v>2.0</v>
      </c>
      <c r="K78" s="10">
        <f t="shared" si="1"/>
        <v>2</v>
      </c>
      <c r="L78" s="12">
        <f t="shared" si="2"/>
        <v>130000</v>
      </c>
      <c r="M78" s="12">
        <f t="shared" si="3"/>
        <v>0</v>
      </c>
      <c r="N78" s="12">
        <f t="shared" si="4"/>
        <v>0</v>
      </c>
      <c r="O78" s="12">
        <f t="shared" si="5"/>
        <v>0</v>
      </c>
      <c r="AI78" s="8" t="s">
        <v>247</v>
      </c>
    </row>
    <row r="79" ht="15.75" customHeight="1">
      <c r="B79" s="2" t="s">
        <v>248</v>
      </c>
      <c r="D79" s="2" t="s">
        <v>54</v>
      </c>
      <c r="E79" s="2" t="s">
        <v>84</v>
      </c>
      <c r="F79" s="11"/>
      <c r="G79" s="12"/>
      <c r="H79" s="13">
        <v>60000.0</v>
      </c>
      <c r="I79" s="2">
        <v>1.0</v>
      </c>
      <c r="K79" s="10">
        <f t="shared" si="1"/>
        <v>1</v>
      </c>
      <c r="L79" s="12">
        <f t="shared" si="2"/>
        <v>60000</v>
      </c>
      <c r="M79" s="12" t="str">
        <f t="shared" si="3"/>
        <v/>
      </c>
      <c r="N79" s="12" t="str">
        <f t="shared" si="4"/>
        <v/>
      </c>
      <c r="O79" s="12" t="str">
        <f t="shared" si="5"/>
        <v/>
      </c>
      <c r="AI79" s="8" t="s">
        <v>249</v>
      </c>
    </row>
    <row r="80" ht="15.75" customHeight="1">
      <c r="B80" s="2" t="s">
        <v>250</v>
      </c>
      <c r="D80" s="2" t="s">
        <v>54</v>
      </c>
      <c r="E80" s="2" t="s">
        <v>84</v>
      </c>
      <c r="F80" s="11"/>
      <c r="G80" s="12"/>
      <c r="H80" s="13">
        <v>60000.0</v>
      </c>
      <c r="I80" s="2">
        <v>1.0</v>
      </c>
      <c r="K80" s="10">
        <f t="shared" si="1"/>
        <v>1</v>
      </c>
      <c r="L80" s="12">
        <f t="shared" si="2"/>
        <v>60000</v>
      </c>
      <c r="M80" s="12" t="str">
        <f t="shared" si="3"/>
        <v/>
      </c>
      <c r="N80" s="12" t="str">
        <f t="shared" si="4"/>
        <v/>
      </c>
      <c r="O80" s="12" t="str">
        <f t="shared" si="5"/>
        <v/>
      </c>
      <c r="AI80" s="8" t="s">
        <v>251</v>
      </c>
    </row>
    <row r="81" ht="15.75" customHeight="1">
      <c r="A81" s="2">
        <v>4.521802014E9</v>
      </c>
      <c r="B81" s="2" t="s">
        <v>252</v>
      </c>
      <c r="D81" s="2" t="s">
        <v>54</v>
      </c>
      <c r="E81" s="2" t="s">
        <v>84</v>
      </c>
      <c r="F81" s="11"/>
      <c r="G81" s="12"/>
      <c r="H81" s="13">
        <v>120000.0</v>
      </c>
      <c r="I81" s="2">
        <v>2.0</v>
      </c>
      <c r="K81" s="10">
        <f t="shared" si="1"/>
        <v>2</v>
      </c>
      <c r="L81" s="12">
        <f t="shared" si="2"/>
        <v>240000</v>
      </c>
      <c r="M81" s="12">
        <f t="shared" si="3"/>
        <v>0</v>
      </c>
      <c r="N81" s="12">
        <f t="shared" si="4"/>
        <v>0</v>
      </c>
      <c r="O81" s="12">
        <f t="shared" si="5"/>
        <v>0</v>
      </c>
      <c r="AI81" s="8" t="s">
        <v>253</v>
      </c>
    </row>
    <row r="82" ht="15.75" customHeight="1">
      <c r="A82" s="2">
        <v>2.705642533401E12</v>
      </c>
      <c r="B82" s="2" t="s">
        <v>254</v>
      </c>
      <c r="D82" s="2" t="s">
        <v>81</v>
      </c>
      <c r="E82" s="2" t="s">
        <v>201</v>
      </c>
      <c r="F82" s="11"/>
      <c r="G82" s="12"/>
      <c r="H82" s="13">
        <v>1500.0</v>
      </c>
      <c r="I82" s="2">
        <v>1.0</v>
      </c>
      <c r="K82" s="10">
        <f t="shared" si="1"/>
        <v>1</v>
      </c>
      <c r="L82" s="12">
        <f t="shared" si="2"/>
        <v>1500</v>
      </c>
      <c r="M82" s="12">
        <f t="shared" si="3"/>
        <v>0</v>
      </c>
      <c r="N82" s="12">
        <f t="shared" si="4"/>
        <v>0</v>
      </c>
      <c r="O82" s="12">
        <f t="shared" si="5"/>
        <v>0</v>
      </c>
      <c r="AI82" s="8" t="s">
        <v>255</v>
      </c>
    </row>
    <row r="83" ht="15.75" customHeight="1">
      <c r="A83" s="2">
        <v>4.52170001E9</v>
      </c>
      <c r="B83" s="2" t="s">
        <v>256</v>
      </c>
      <c r="D83" s="2" t="s">
        <v>93</v>
      </c>
      <c r="E83" s="2" t="s">
        <v>84</v>
      </c>
      <c r="F83" s="11"/>
      <c r="G83" s="12"/>
      <c r="H83" s="13">
        <v>300000.0</v>
      </c>
      <c r="I83" s="2">
        <v>1.0</v>
      </c>
      <c r="K83" s="10">
        <f t="shared" si="1"/>
        <v>1</v>
      </c>
      <c r="L83" s="12">
        <f t="shared" si="2"/>
        <v>300000</v>
      </c>
      <c r="M83" s="12">
        <f t="shared" si="3"/>
        <v>0</v>
      </c>
      <c r="N83" s="12">
        <f t="shared" si="4"/>
        <v>0</v>
      </c>
      <c r="O83" s="12">
        <f t="shared" si="5"/>
        <v>0</v>
      </c>
      <c r="AI83" s="8" t="s">
        <v>257</v>
      </c>
    </row>
    <row r="84" ht="15.75" customHeight="1">
      <c r="A84" s="2">
        <v>3.15120291551E14</v>
      </c>
      <c r="B84" s="2" t="s">
        <v>258</v>
      </c>
      <c r="D84" s="2" t="s">
        <v>54</v>
      </c>
      <c r="E84" s="2" t="s">
        <v>84</v>
      </c>
      <c r="F84" s="11"/>
      <c r="G84" s="12"/>
      <c r="H84" s="13">
        <v>2000.0</v>
      </c>
      <c r="I84" s="2">
        <v>13.0</v>
      </c>
      <c r="K84" s="10">
        <f t="shared" si="1"/>
        <v>13</v>
      </c>
      <c r="L84" s="12">
        <f t="shared" si="2"/>
        <v>26000</v>
      </c>
      <c r="M84" s="12">
        <f t="shared" si="3"/>
        <v>0</v>
      </c>
      <c r="N84" s="12">
        <f t="shared" si="4"/>
        <v>0</v>
      </c>
      <c r="O84" s="12">
        <f t="shared" si="5"/>
        <v>0</v>
      </c>
      <c r="AI84" s="8" t="s">
        <v>259</v>
      </c>
    </row>
    <row r="85" ht="15.75" customHeight="1">
      <c r="A85" s="2">
        <v>4.5100170310331E13</v>
      </c>
      <c r="B85" s="2" t="s">
        <v>260</v>
      </c>
      <c r="D85" s="2" t="s">
        <v>54</v>
      </c>
      <c r="E85" s="2" t="s">
        <v>84</v>
      </c>
      <c r="F85" s="11"/>
      <c r="G85" s="12"/>
      <c r="H85" s="13">
        <v>8000.0</v>
      </c>
      <c r="I85" s="2">
        <v>1.0</v>
      </c>
      <c r="K85" s="10">
        <f t="shared" si="1"/>
        <v>1</v>
      </c>
      <c r="L85" s="12">
        <f t="shared" si="2"/>
        <v>8000</v>
      </c>
      <c r="M85" s="12">
        <f t="shared" si="3"/>
        <v>0</v>
      </c>
      <c r="N85" s="12">
        <f t="shared" si="4"/>
        <v>0</v>
      </c>
      <c r="O85" s="12">
        <f t="shared" si="5"/>
        <v>0</v>
      </c>
      <c r="AI85" s="8" t="s">
        <v>261</v>
      </c>
    </row>
    <row r="86" ht="15.75" customHeight="1">
      <c r="A86" s="2">
        <v>2.1052202025E10</v>
      </c>
      <c r="B86" s="2" t="s">
        <v>262</v>
      </c>
      <c r="D86" s="2" t="s">
        <v>263</v>
      </c>
      <c r="E86" s="2" t="s">
        <v>84</v>
      </c>
      <c r="F86" s="11"/>
      <c r="G86" s="12"/>
      <c r="H86" s="13">
        <v>3000.0</v>
      </c>
      <c r="I86" s="2">
        <v>16.0</v>
      </c>
      <c r="K86" s="10">
        <f t="shared" si="1"/>
        <v>16</v>
      </c>
      <c r="L86" s="12">
        <f t="shared" si="2"/>
        <v>48000</v>
      </c>
      <c r="M86" s="12">
        <f t="shared" si="3"/>
        <v>0</v>
      </c>
      <c r="N86" s="12">
        <f t="shared" si="4"/>
        <v>0</v>
      </c>
      <c r="O86" s="12">
        <f t="shared" si="5"/>
        <v>0</v>
      </c>
      <c r="AI86" s="8" t="s">
        <v>264</v>
      </c>
    </row>
    <row r="87" ht="15.75" customHeight="1">
      <c r="A87" s="2">
        <v>3.102220102522E12</v>
      </c>
      <c r="B87" s="2" t="s">
        <v>265</v>
      </c>
      <c r="D87" s="2" t="s">
        <v>135</v>
      </c>
      <c r="E87" s="2" t="s">
        <v>84</v>
      </c>
      <c r="F87" s="11"/>
      <c r="G87" s="12"/>
      <c r="H87" s="13">
        <v>10000.0</v>
      </c>
      <c r="I87" s="2">
        <v>28.0</v>
      </c>
      <c r="K87" s="10">
        <f t="shared" si="1"/>
        <v>28</v>
      </c>
      <c r="L87" s="12">
        <f t="shared" si="2"/>
        <v>280000</v>
      </c>
      <c r="M87" s="12">
        <f t="shared" si="3"/>
        <v>0</v>
      </c>
      <c r="N87" s="12">
        <f t="shared" si="4"/>
        <v>0</v>
      </c>
      <c r="O87" s="12">
        <f t="shared" si="5"/>
        <v>0</v>
      </c>
      <c r="AI87" s="8" t="s">
        <v>266</v>
      </c>
    </row>
    <row r="88" ht="15.75" customHeight="1">
      <c r="A88" s="2">
        <v>2.1212202025E10</v>
      </c>
      <c r="B88" s="2" t="s">
        <v>267</v>
      </c>
      <c r="D88" s="2" t="s">
        <v>263</v>
      </c>
      <c r="E88" s="2" t="s">
        <v>84</v>
      </c>
      <c r="F88" s="11"/>
      <c r="G88" s="12"/>
      <c r="H88" s="13">
        <v>4000.0</v>
      </c>
      <c r="I88" s="2">
        <v>1.0</v>
      </c>
      <c r="K88" s="10">
        <f t="shared" si="1"/>
        <v>1</v>
      </c>
      <c r="L88" s="12">
        <f t="shared" si="2"/>
        <v>4000</v>
      </c>
      <c r="M88" s="12">
        <f t="shared" si="3"/>
        <v>0</v>
      </c>
      <c r="N88" s="12">
        <f t="shared" si="4"/>
        <v>0</v>
      </c>
      <c r="O88" s="12">
        <f t="shared" si="5"/>
        <v>0</v>
      </c>
      <c r="AI88" s="8" t="s">
        <v>268</v>
      </c>
    </row>
    <row r="89" ht="15.75" customHeight="1">
      <c r="A89" s="2">
        <v>3.160290555E10</v>
      </c>
      <c r="B89" s="2" t="s">
        <v>269</v>
      </c>
      <c r="D89" s="2" t="s">
        <v>54</v>
      </c>
      <c r="E89" s="2" t="s">
        <v>84</v>
      </c>
      <c r="F89" s="11"/>
      <c r="G89" s="12"/>
      <c r="H89" s="13">
        <v>2000.0</v>
      </c>
      <c r="I89" s="2">
        <v>2.0</v>
      </c>
      <c r="K89" s="10">
        <f t="shared" si="1"/>
        <v>2</v>
      </c>
      <c r="L89" s="12">
        <f t="shared" si="2"/>
        <v>4000</v>
      </c>
      <c r="M89" s="12">
        <f t="shared" si="3"/>
        <v>0</v>
      </c>
      <c r="N89" s="12">
        <f t="shared" si="4"/>
        <v>0</v>
      </c>
      <c r="O89" s="12">
        <f t="shared" si="5"/>
        <v>0</v>
      </c>
      <c r="AI89" s="8" t="s">
        <v>270</v>
      </c>
    </row>
    <row r="90" ht="15.75" customHeight="1">
      <c r="A90" s="2">
        <v>4.5150290244592E13</v>
      </c>
      <c r="B90" s="2" t="s">
        <v>271</v>
      </c>
      <c r="D90" s="2" t="s">
        <v>54</v>
      </c>
      <c r="E90" s="2" t="s">
        <v>84</v>
      </c>
      <c r="F90" s="11"/>
      <c r="G90" s="12"/>
      <c r="H90" s="13">
        <v>15000.0</v>
      </c>
      <c r="I90" s="2">
        <v>4.0</v>
      </c>
      <c r="K90" s="10">
        <f t="shared" si="1"/>
        <v>4</v>
      </c>
      <c r="L90" s="12">
        <f t="shared" si="2"/>
        <v>60000</v>
      </c>
      <c r="M90" s="12">
        <f t="shared" si="3"/>
        <v>0</v>
      </c>
      <c r="N90" s="12">
        <f t="shared" si="4"/>
        <v>0</v>
      </c>
      <c r="O90" s="12">
        <f t="shared" si="5"/>
        <v>0</v>
      </c>
      <c r="AI90" s="8" t="s">
        <v>272</v>
      </c>
    </row>
    <row r="91" ht="15.75" customHeight="1">
      <c r="B91" s="2" t="s">
        <v>273</v>
      </c>
      <c r="D91" s="2" t="s">
        <v>86</v>
      </c>
      <c r="E91" s="2" t="s">
        <v>79</v>
      </c>
      <c r="F91" s="11"/>
      <c r="G91" s="12"/>
      <c r="H91" s="13">
        <v>8000.0</v>
      </c>
      <c r="I91" s="2">
        <v>1.0</v>
      </c>
      <c r="K91" s="10">
        <f t="shared" si="1"/>
        <v>1</v>
      </c>
      <c r="L91" s="12">
        <f t="shared" si="2"/>
        <v>8000</v>
      </c>
      <c r="M91" s="12" t="str">
        <f t="shared" si="3"/>
        <v/>
      </c>
      <c r="N91" s="12" t="str">
        <f t="shared" si="4"/>
        <v/>
      </c>
      <c r="O91" s="12" t="str">
        <f t="shared" si="5"/>
        <v/>
      </c>
      <c r="AI91" s="8" t="s">
        <v>274</v>
      </c>
    </row>
    <row r="92" ht="15.75" customHeight="1">
      <c r="A92" s="2">
        <v>4.5117020151E11</v>
      </c>
      <c r="B92" s="2" t="s">
        <v>275</v>
      </c>
      <c r="D92" s="2" t="s">
        <v>54</v>
      </c>
      <c r="E92" s="2" t="s">
        <v>84</v>
      </c>
      <c r="F92" s="11"/>
      <c r="G92" s="12"/>
      <c r="H92" s="13">
        <v>25000.0</v>
      </c>
      <c r="I92" s="2">
        <v>4.0</v>
      </c>
      <c r="K92" s="10">
        <f t="shared" si="1"/>
        <v>4</v>
      </c>
      <c r="L92" s="12">
        <f t="shared" si="2"/>
        <v>100000</v>
      </c>
      <c r="M92" s="12">
        <f t="shared" si="3"/>
        <v>0</v>
      </c>
      <c r="N92" s="12">
        <f t="shared" si="4"/>
        <v>0</v>
      </c>
      <c r="O92" s="12">
        <f t="shared" si="5"/>
        <v>0</v>
      </c>
      <c r="AI92" s="8" t="s">
        <v>276</v>
      </c>
    </row>
    <row r="93" ht="15.75" customHeight="1">
      <c r="A93" s="2"/>
      <c r="B93" s="2" t="s">
        <v>277</v>
      </c>
      <c r="D93" s="2" t="s">
        <v>78</v>
      </c>
      <c r="E93" s="2" t="s">
        <v>84</v>
      </c>
      <c r="F93" s="11"/>
      <c r="G93" s="12"/>
      <c r="H93" s="13">
        <v>35000.0</v>
      </c>
      <c r="I93" s="2">
        <v>1.0</v>
      </c>
      <c r="K93" s="10">
        <f t="shared" si="1"/>
        <v>1</v>
      </c>
      <c r="L93" s="12">
        <f t="shared" si="2"/>
        <v>35000</v>
      </c>
      <c r="M93" s="12" t="str">
        <f t="shared" si="3"/>
        <v/>
      </c>
      <c r="N93" s="12" t="str">
        <f t="shared" si="4"/>
        <v/>
      </c>
      <c r="O93" s="12" t="str">
        <f t="shared" si="5"/>
        <v/>
      </c>
      <c r="AI93" s="8" t="s">
        <v>278</v>
      </c>
    </row>
    <row r="94" ht="15.75" customHeight="1">
      <c r="A94" s="2" t="s">
        <v>279</v>
      </c>
      <c r="B94" s="2" t="s">
        <v>280</v>
      </c>
      <c r="D94" s="2" t="s">
        <v>78</v>
      </c>
      <c r="E94" s="2" t="s">
        <v>84</v>
      </c>
      <c r="F94" s="11"/>
      <c r="G94" s="12"/>
      <c r="H94" s="13">
        <v>65000.0</v>
      </c>
      <c r="I94" s="2">
        <v>3.0</v>
      </c>
      <c r="K94" s="10">
        <f t="shared" si="1"/>
        <v>3</v>
      </c>
      <c r="L94" s="12">
        <f t="shared" si="2"/>
        <v>195000</v>
      </c>
      <c r="M94" s="12">
        <f t="shared" si="3"/>
        <v>0</v>
      </c>
      <c r="N94" s="12">
        <f t="shared" si="4"/>
        <v>0</v>
      </c>
      <c r="O94" s="12">
        <f t="shared" si="5"/>
        <v>0</v>
      </c>
      <c r="AI94" s="8" t="s">
        <v>281</v>
      </c>
    </row>
    <row r="95" ht="15.75" customHeight="1">
      <c r="A95" s="2">
        <v>4.6917020153E11</v>
      </c>
      <c r="B95" s="2" t="s">
        <v>282</v>
      </c>
      <c r="D95" s="2" t="s">
        <v>54</v>
      </c>
      <c r="E95" s="2" t="s">
        <v>84</v>
      </c>
      <c r="F95" s="11"/>
      <c r="G95" s="12"/>
      <c r="H95" s="13">
        <v>25000.0</v>
      </c>
      <c r="I95" s="2">
        <v>1.0</v>
      </c>
      <c r="K95" s="10">
        <f t="shared" si="1"/>
        <v>1</v>
      </c>
      <c r="L95" s="12">
        <f t="shared" si="2"/>
        <v>25000</v>
      </c>
      <c r="M95" s="12">
        <f t="shared" si="3"/>
        <v>0</v>
      </c>
      <c r="N95" s="12">
        <f t="shared" si="4"/>
        <v>0</v>
      </c>
      <c r="O95" s="12">
        <f t="shared" si="5"/>
        <v>0</v>
      </c>
      <c r="AI95" s="8" t="s">
        <v>283</v>
      </c>
    </row>
    <row r="96" ht="15.75" customHeight="1">
      <c r="A96" s="2">
        <v>5.2170102E8</v>
      </c>
      <c r="B96" s="2" t="s">
        <v>284</v>
      </c>
      <c r="D96" s="2" t="s">
        <v>78</v>
      </c>
      <c r="E96" s="2" t="s">
        <v>84</v>
      </c>
      <c r="F96" s="11"/>
      <c r="G96" s="12"/>
      <c r="H96" s="13">
        <v>3000.0</v>
      </c>
      <c r="I96" s="2">
        <v>8.0</v>
      </c>
      <c r="K96" s="10">
        <f t="shared" si="1"/>
        <v>8</v>
      </c>
      <c r="L96" s="12">
        <f t="shared" si="2"/>
        <v>24000</v>
      </c>
      <c r="M96" s="12">
        <f t="shared" si="3"/>
        <v>0</v>
      </c>
      <c r="N96" s="12">
        <f t="shared" si="4"/>
        <v>0</v>
      </c>
      <c r="O96" s="12">
        <f t="shared" si="5"/>
        <v>0</v>
      </c>
      <c r="AI96" s="8" t="s">
        <v>285</v>
      </c>
    </row>
    <row r="97" ht="15.75" customHeight="1">
      <c r="A97" s="2">
        <v>4.69170107E9</v>
      </c>
      <c r="B97" s="2" t="s">
        <v>286</v>
      </c>
      <c r="D97" s="2" t="s">
        <v>54</v>
      </c>
      <c r="E97" s="2" t="s">
        <v>84</v>
      </c>
      <c r="F97" s="11"/>
      <c r="G97" s="12"/>
      <c r="H97" s="13">
        <v>1000.0</v>
      </c>
      <c r="I97" s="2">
        <v>4.0</v>
      </c>
      <c r="K97" s="10">
        <f t="shared" si="1"/>
        <v>4</v>
      </c>
      <c r="L97" s="12">
        <f t="shared" si="2"/>
        <v>4000</v>
      </c>
      <c r="M97" s="12">
        <f t="shared" si="3"/>
        <v>0</v>
      </c>
      <c r="N97" s="12">
        <f t="shared" si="4"/>
        <v>0</v>
      </c>
      <c r="O97" s="12">
        <f t="shared" si="5"/>
        <v>0</v>
      </c>
      <c r="AI97" s="8" t="s">
        <v>287</v>
      </c>
    </row>
    <row r="98" ht="15.75" customHeight="1">
      <c r="A98" s="2">
        <v>4.691701068E9</v>
      </c>
      <c r="B98" s="2" t="s">
        <v>288</v>
      </c>
      <c r="D98" s="2" t="s">
        <v>54</v>
      </c>
      <c r="E98" s="2" t="s">
        <v>84</v>
      </c>
      <c r="F98" s="11"/>
      <c r="G98" s="12"/>
      <c r="H98" s="13">
        <v>1000.0</v>
      </c>
      <c r="I98" s="2">
        <v>5.0</v>
      </c>
      <c r="K98" s="10">
        <f t="shared" si="1"/>
        <v>5</v>
      </c>
      <c r="L98" s="12">
        <f t="shared" si="2"/>
        <v>5000</v>
      </c>
      <c r="M98" s="12">
        <f t="shared" si="3"/>
        <v>0</v>
      </c>
      <c r="N98" s="12">
        <f t="shared" si="4"/>
        <v>0</v>
      </c>
      <c r="O98" s="12">
        <f t="shared" si="5"/>
        <v>0</v>
      </c>
      <c r="AI98" s="8" t="s">
        <v>289</v>
      </c>
    </row>
    <row r="99" ht="15.75" customHeight="1">
      <c r="A99" s="2">
        <v>5.31217012E10</v>
      </c>
      <c r="B99" s="2" t="s">
        <v>290</v>
      </c>
      <c r="D99" s="2" t="s">
        <v>86</v>
      </c>
      <c r="E99" s="2" t="s">
        <v>84</v>
      </c>
      <c r="F99" s="11"/>
      <c r="G99" s="12"/>
      <c r="H99" s="13">
        <v>20000.0</v>
      </c>
      <c r="I99" s="2">
        <v>1.0</v>
      </c>
      <c r="K99" s="10">
        <f t="shared" si="1"/>
        <v>1</v>
      </c>
      <c r="L99" s="12">
        <f t="shared" si="2"/>
        <v>20000</v>
      </c>
      <c r="M99" s="12">
        <f t="shared" si="3"/>
        <v>0</v>
      </c>
      <c r="N99" s="12">
        <f t="shared" si="4"/>
        <v>0</v>
      </c>
      <c r="O99" s="12">
        <f t="shared" si="5"/>
        <v>0</v>
      </c>
      <c r="AI99" s="8" t="s">
        <v>291</v>
      </c>
    </row>
    <row r="100" ht="15.75" customHeight="1">
      <c r="A100" s="2">
        <v>4.5150170104E11</v>
      </c>
      <c r="B100" s="2" t="s">
        <v>292</v>
      </c>
      <c r="D100" s="2" t="s">
        <v>93</v>
      </c>
      <c r="E100" s="2" t="s">
        <v>84</v>
      </c>
      <c r="F100" s="11"/>
      <c r="G100" s="12"/>
      <c r="H100" s="13">
        <v>10000.0</v>
      </c>
      <c r="I100" s="2">
        <v>13.0</v>
      </c>
      <c r="K100" s="10">
        <f t="shared" si="1"/>
        <v>13</v>
      </c>
      <c r="L100" s="12">
        <f t="shared" si="2"/>
        <v>130000</v>
      </c>
      <c r="M100" s="12">
        <f t="shared" si="3"/>
        <v>0</v>
      </c>
      <c r="N100" s="12">
        <f t="shared" si="4"/>
        <v>0</v>
      </c>
      <c r="O100" s="12">
        <f t="shared" si="5"/>
        <v>0</v>
      </c>
      <c r="AI100" s="8" t="s">
        <v>293</v>
      </c>
    </row>
    <row r="101" ht="15.75" customHeight="1">
      <c r="A101" s="2">
        <v>3.1511701041E10</v>
      </c>
      <c r="B101" s="2" t="s">
        <v>292</v>
      </c>
      <c r="D101" s="2" t="s">
        <v>54</v>
      </c>
      <c r="E101" s="2" t="s">
        <v>84</v>
      </c>
      <c r="F101" s="11"/>
      <c r="G101" s="12"/>
      <c r="H101" s="13">
        <v>10000.0</v>
      </c>
      <c r="I101" s="2">
        <v>13.0</v>
      </c>
      <c r="K101" s="10">
        <f t="shared" si="1"/>
        <v>13</v>
      </c>
      <c r="L101" s="12">
        <f t="shared" si="2"/>
        <v>130000</v>
      </c>
      <c r="M101" s="12">
        <f t="shared" si="3"/>
        <v>0</v>
      </c>
      <c r="N101" s="12">
        <f t="shared" si="4"/>
        <v>0</v>
      </c>
      <c r="O101" s="12">
        <f t="shared" si="5"/>
        <v>0</v>
      </c>
      <c r="AI101" s="8" t="s">
        <v>294</v>
      </c>
    </row>
    <row r="102" ht="15.75" customHeight="1">
      <c r="A102" s="2">
        <v>3.7411802105E10</v>
      </c>
      <c r="B102" s="2" t="s">
        <v>295</v>
      </c>
      <c r="D102" s="2" t="s">
        <v>54</v>
      </c>
      <c r="E102" s="2" t="s">
        <v>84</v>
      </c>
      <c r="F102" s="11"/>
      <c r="G102" s="12"/>
      <c r="H102" s="13">
        <v>4000.0</v>
      </c>
      <c r="I102" s="2">
        <v>1.0</v>
      </c>
      <c r="K102" s="10">
        <f t="shared" si="1"/>
        <v>1</v>
      </c>
      <c r="L102" s="12">
        <f t="shared" si="2"/>
        <v>4000</v>
      </c>
      <c r="M102" s="12">
        <f t="shared" si="3"/>
        <v>0</v>
      </c>
      <c r="N102" s="12">
        <f t="shared" si="4"/>
        <v>0</v>
      </c>
      <c r="O102" s="12">
        <f t="shared" si="5"/>
        <v>0</v>
      </c>
      <c r="AI102" s="8" t="s">
        <v>296</v>
      </c>
    </row>
    <row r="103" ht="15.75" customHeight="1">
      <c r="B103" s="2" t="s">
        <v>297</v>
      </c>
      <c r="D103" s="2" t="s">
        <v>135</v>
      </c>
      <c r="E103" s="2" t="s">
        <v>79</v>
      </c>
      <c r="F103" s="11"/>
      <c r="G103" s="12"/>
      <c r="H103" s="13">
        <v>7000.0</v>
      </c>
      <c r="I103" s="2">
        <v>7.0</v>
      </c>
      <c r="K103" s="10">
        <f t="shared" si="1"/>
        <v>7</v>
      </c>
      <c r="L103" s="12">
        <f t="shared" si="2"/>
        <v>49000</v>
      </c>
      <c r="M103" s="12" t="str">
        <f t="shared" si="3"/>
        <v/>
      </c>
      <c r="N103" s="12" t="str">
        <f t="shared" si="4"/>
        <v/>
      </c>
      <c r="O103" s="12" t="str">
        <f t="shared" si="5"/>
        <v/>
      </c>
      <c r="AI103" s="8" t="s">
        <v>298</v>
      </c>
    </row>
    <row r="104" ht="15.75" customHeight="1">
      <c r="B104" s="2" t="s">
        <v>299</v>
      </c>
      <c r="D104" s="2" t="s">
        <v>54</v>
      </c>
      <c r="E104" s="2" t="s">
        <v>82</v>
      </c>
      <c r="F104" s="11"/>
      <c r="G104" s="12"/>
      <c r="H104" s="13">
        <v>3000.0</v>
      </c>
      <c r="I104" s="2">
        <v>2.0</v>
      </c>
      <c r="K104" s="10">
        <f t="shared" si="1"/>
        <v>2</v>
      </c>
      <c r="L104" s="12">
        <f t="shared" si="2"/>
        <v>6000</v>
      </c>
      <c r="M104" s="12" t="str">
        <f t="shared" si="3"/>
        <v/>
      </c>
      <c r="N104" s="12" t="str">
        <f t="shared" si="4"/>
        <v/>
      </c>
      <c r="O104" s="12" t="str">
        <f t="shared" si="5"/>
        <v/>
      </c>
      <c r="AI104" s="8" t="s">
        <v>300</v>
      </c>
    </row>
    <row r="105" ht="15.75" customHeight="1">
      <c r="B105" s="2" t="s">
        <v>301</v>
      </c>
      <c r="D105" s="2" t="s">
        <v>88</v>
      </c>
      <c r="E105" s="2" t="s">
        <v>79</v>
      </c>
      <c r="F105" s="11"/>
      <c r="G105" s="12"/>
      <c r="H105" s="13">
        <v>3000.0</v>
      </c>
      <c r="I105" s="2">
        <v>2.0</v>
      </c>
      <c r="K105" s="10">
        <f t="shared" si="1"/>
        <v>2</v>
      </c>
      <c r="L105" s="12">
        <f t="shared" si="2"/>
        <v>6000</v>
      </c>
      <c r="M105" s="12" t="str">
        <f t="shared" si="3"/>
        <v/>
      </c>
      <c r="N105" s="12" t="str">
        <f t="shared" si="4"/>
        <v/>
      </c>
      <c r="O105" s="12" t="str">
        <f t="shared" si="5"/>
        <v/>
      </c>
      <c r="AI105" s="8" t="s">
        <v>302</v>
      </c>
    </row>
    <row r="106" ht="15.75" customHeight="1">
      <c r="A106" s="2">
        <v>3.96295170301E14</v>
      </c>
      <c r="B106" s="2" t="s">
        <v>303</v>
      </c>
      <c r="D106" s="2" t="s">
        <v>54</v>
      </c>
      <c r="E106" s="2" t="s">
        <v>84</v>
      </c>
      <c r="F106" s="11"/>
      <c r="G106" s="12"/>
      <c r="H106" s="13">
        <v>25000.0</v>
      </c>
      <c r="I106" s="2">
        <v>1.0</v>
      </c>
      <c r="K106" s="10">
        <f t="shared" si="1"/>
        <v>1</v>
      </c>
      <c r="L106" s="12">
        <f t="shared" si="2"/>
        <v>25000</v>
      </c>
      <c r="M106" s="12">
        <f t="shared" si="3"/>
        <v>0</v>
      </c>
      <c r="N106" s="12">
        <f t="shared" si="4"/>
        <v>0</v>
      </c>
      <c r="O106" s="12">
        <f t="shared" si="5"/>
        <v>0</v>
      </c>
      <c r="AI106" s="8" t="s">
        <v>304</v>
      </c>
    </row>
    <row r="107" ht="15.75" customHeight="1">
      <c r="B107" s="2" t="s">
        <v>305</v>
      </c>
      <c r="D107" s="2" t="s">
        <v>54</v>
      </c>
      <c r="E107" s="2" t="s">
        <v>84</v>
      </c>
      <c r="F107" s="11"/>
      <c r="G107" s="12"/>
      <c r="H107" s="13">
        <v>20000.0</v>
      </c>
      <c r="I107" s="2">
        <v>1.0</v>
      </c>
      <c r="K107" s="10">
        <f t="shared" si="1"/>
        <v>1</v>
      </c>
      <c r="L107" s="12">
        <f t="shared" si="2"/>
        <v>20000</v>
      </c>
      <c r="M107" s="12" t="str">
        <f t="shared" si="3"/>
        <v/>
      </c>
      <c r="N107" s="12" t="str">
        <f t="shared" si="4"/>
        <v/>
      </c>
      <c r="O107" s="12" t="str">
        <f t="shared" si="5"/>
        <v/>
      </c>
      <c r="AI107" s="8" t="s">
        <v>306</v>
      </c>
    </row>
    <row r="108" ht="15.75" customHeight="1">
      <c r="B108" s="2" t="s">
        <v>307</v>
      </c>
      <c r="D108" s="2" t="s">
        <v>182</v>
      </c>
      <c r="E108" s="2" t="s">
        <v>183</v>
      </c>
      <c r="F108" s="11"/>
      <c r="G108" s="12"/>
      <c r="H108" s="13">
        <v>5000.0</v>
      </c>
      <c r="I108" s="2">
        <v>1.0</v>
      </c>
      <c r="K108" s="10">
        <f t="shared" si="1"/>
        <v>1</v>
      </c>
      <c r="L108" s="12">
        <f t="shared" si="2"/>
        <v>5000</v>
      </c>
      <c r="M108" s="12" t="str">
        <f t="shared" si="3"/>
        <v/>
      </c>
      <c r="N108" s="12" t="str">
        <f t="shared" si="4"/>
        <v/>
      </c>
      <c r="O108" s="12" t="str">
        <f t="shared" si="5"/>
        <v/>
      </c>
      <c r="AI108" s="8" t="s">
        <v>308</v>
      </c>
    </row>
    <row r="109" ht="15.75" customHeight="1">
      <c r="A109" s="2" t="s">
        <v>309</v>
      </c>
      <c r="B109" s="2" t="s">
        <v>310</v>
      </c>
      <c r="D109" s="2" t="s">
        <v>54</v>
      </c>
      <c r="E109" s="2" t="s">
        <v>68</v>
      </c>
      <c r="F109" s="11"/>
      <c r="G109" s="12"/>
      <c r="H109" s="13">
        <v>500.0</v>
      </c>
      <c r="I109" s="2">
        <v>12.0</v>
      </c>
      <c r="K109" s="10">
        <f t="shared" si="1"/>
        <v>12</v>
      </c>
      <c r="L109" s="12">
        <f t="shared" si="2"/>
        <v>6000</v>
      </c>
      <c r="M109" s="12">
        <f t="shared" si="3"/>
        <v>0</v>
      </c>
      <c r="N109" s="12">
        <f t="shared" si="4"/>
        <v>0</v>
      </c>
      <c r="O109" s="12">
        <f t="shared" si="5"/>
        <v>0</v>
      </c>
      <c r="AI109" s="8" t="s">
        <v>311</v>
      </c>
    </row>
    <row r="110" ht="15.75" customHeight="1">
      <c r="A110" s="2" t="s">
        <v>312</v>
      </c>
      <c r="B110" s="2" t="s">
        <v>313</v>
      </c>
      <c r="D110" s="2" t="s">
        <v>86</v>
      </c>
      <c r="E110" s="2" t="s">
        <v>68</v>
      </c>
      <c r="F110" s="11"/>
      <c r="G110" s="12"/>
      <c r="H110" s="13">
        <v>500.0</v>
      </c>
      <c r="I110" s="2">
        <v>14.0</v>
      </c>
      <c r="K110" s="10">
        <f t="shared" si="1"/>
        <v>14</v>
      </c>
      <c r="L110" s="12">
        <f t="shared" si="2"/>
        <v>7000</v>
      </c>
      <c r="M110" s="12">
        <f t="shared" si="3"/>
        <v>0</v>
      </c>
      <c r="N110" s="12">
        <f t="shared" si="4"/>
        <v>0</v>
      </c>
      <c r="O110" s="12">
        <f t="shared" si="5"/>
        <v>0</v>
      </c>
      <c r="AI110" s="8" t="s">
        <v>314</v>
      </c>
    </row>
    <row r="111" ht="15.75" customHeight="1">
      <c r="A111" s="2" t="s">
        <v>315</v>
      </c>
      <c r="B111" s="2" t="s">
        <v>316</v>
      </c>
      <c r="D111" s="2" t="s">
        <v>86</v>
      </c>
      <c r="E111" s="2" t="s">
        <v>68</v>
      </c>
      <c r="F111" s="11"/>
      <c r="G111" s="12"/>
      <c r="H111" s="13">
        <v>500.0</v>
      </c>
      <c r="I111" s="2">
        <v>3.0</v>
      </c>
      <c r="K111" s="10">
        <f t="shared" si="1"/>
        <v>3</v>
      </c>
      <c r="L111" s="12">
        <f t="shared" si="2"/>
        <v>1500</v>
      </c>
      <c r="M111" s="12">
        <f t="shared" si="3"/>
        <v>0</v>
      </c>
      <c r="N111" s="12">
        <f t="shared" si="4"/>
        <v>0</v>
      </c>
      <c r="O111" s="12">
        <f t="shared" si="5"/>
        <v>0</v>
      </c>
      <c r="AI111" s="8" t="s">
        <v>317</v>
      </c>
    </row>
    <row r="112" ht="15.75" customHeight="1">
      <c r="A112" s="2">
        <v>4.691602516E9</v>
      </c>
      <c r="B112" s="2" t="s">
        <v>318</v>
      </c>
      <c r="D112" s="2" t="s">
        <v>54</v>
      </c>
      <c r="E112" s="2" t="s">
        <v>84</v>
      </c>
      <c r="F112" s="11"/>
      <c r="G112" s="12"/>
      <c r="H112" s="13">
        <v>200.0</v>
      </c>
      <c r="I112" s="2">
        <v>72.0</v>
      </c>
      <c r="K112" s="10">
        <f t="shared" si="1"/>
        <v>72</v>
      </c>
      <c r="L112" s="12">
        <f t="shared" si="2"/>
        <v>14400</v>
      </c>
      <c r="M112" s="12">
        <f t="shared" si="3"/>
        <v>0</v>
      </c>
      <c r="N112" s="12">
        <f t="shared" si="4"/>
        <v>0</v>
      </c>
      <c r="O112" s="12">
        <f t="shared" si="5"/>
        <v>0</v>
      </c>
      <c r="AI112" s="8" t="s">
        <v>319</v>
      </c>
    </row>
    <row r="113" ht="15.75" customHeight="1">
      <c r="A113" s="2">
        <v>4.062100512E10</v>
      </c>
      <c r="B113" s="2" t="s">
        <v>320</v>
      </c>
      <c r="D113" s="2" t="s">
        <v>88</v>
      </c>
      <c r="E113" s="2" t="s">
        <v>79</v>
      </c>
      <c r="F113" s="11"/>
      <c r="G113" s="12"/>
      <c r="H113" s="13">
        <v>50000.0</v>
      </c>
      <c r="I113" s="2">
        <v>1.0</v>
      </c>
      <c r="K113" s="10">
        <f t="shared" si="1"/>
        <v>1</v>
      </c>
      <c r="L113" s="12">
        <f t="shared" si="2"/>
        <v>50000</v>
      </c>
      <c r="M113" s="12">
        <f t="shared" si="3"/>
        <v>0</v>
      </c>
      <c r="N113" s="12">
        <f t="shared" si="4"/>
        <v>0</v>
      </c>
      <c r="O113" s="12">
        <f t="shared" si="5"/>
        <v>0</v>
      </c>
      <c r="AI113" s="8" t="s">
        <v>321</v>
      </c>
    </row>
    <row r="114" ht="15.75" customHeight="1">
      <c r="A114" s="2">
        <v>4.173010051152E13</v>
      </c>
      <c r="B114" s="2" t="s">
        <v>320</v>
      </c>
      <c r="D114" s="2" t="s">
        <v>88</v>
      </c>
      <c r="E114" s="2" t="s">
        <v>79</v>
      </c>
      <c r="F114" s="11"/>
      <c r="G114" s="12"/>
      <c r="H114" s="13">
        <v>50000.0</v>
      </c>
      <c r="I114" s="2">
        <v>1.0</v>
      </c>
      <c r="K114" s="10">
        <f t="shared" si="1"/>
        <v>1</v>
      </c>
      <c r="L114" s="12">
        <f t="shared" si="2"/>
        <v>50000</v>
      </c>
      <c r="M114" s="12">
        <f t="shared" si="3"/>
        <v>0</v>
      </c>
      <c r="N114" s="12">
        <f t="shared" si="4"/>
        <v>0</v>
      </c>
      <c r="O114" s="12">
        <f t="shared" si="5"/>
        <v>0</v>
      </c>
      <c r="AI114" s="8" t="s">
        <v>322</v>
      </c>
    </row>
    <row r="115" ht="15.75" customHeight="1">
      <c r="A115" s="2">
        <v>4.69180301E9</v>
      </c>
      <c r="B115" s="2" t="s">
        <v>323</v>
      </c>
      <c r="D115" s="2" t="s">
        <v>54</v>
      </c>
      <c r="E115" s="2" t="s">
        <v>84</v>
      </c>
      <c r="F115" s="11"/>
      <c r="G115" s="12"/>
      <c r="H115" s="13">
        <v>10000.0</v>
      </c>
      <c r="I115" s="2">
        <v>1.0</v>
      </c>
      <c r="K115" s="10">
        <f t="shared" si="1"/>
        <v>1</v>
      </c>
      <c r="L115" s="12">
        <f t="shared" si="2"/>
        <v>10000</v>
      </c>
      <c r="M115" s="12">
        <f t="shared" si="3"/>
        <v>0</v>
      </c>
      <c r="N115" s="12">
        <f t="shared" si="4"/>
        <v>0</v>
      </c>
      <c r="O115" s="12">
        <f t="shared" si="5"/>
        <v>0</v>
      </c>
      <c r="AI115" s="8" t="s">
        <v>324</v>
      </c>
    </row>
    <row r="116" ht="15.75" customHeight="1">
      <c r="B116" s="2" t="s">
        <v>325</v>
      </c>
      <c r="D116" s="2" t="s">
        <v>54</v>
      </c>
      <c r="E116" s="2" t="s">
        <v>201</v>
      </c>
      <c r="F116" s="11"/>
      <c r="G116" s="12"/>
      <c r="H116" s="13">
        <v>50000.0</v>
      </c>
      <c r="I116" s="2">
        <v>1.0</v>
      </c>
      <c r="K116" s="10">
        <f t="shared" si="1"/>
        <v>1</v>
      </c>
      <c r="L116" s="12">
        <f t="shared" si="2"/>
        <v>50000</v>
      </c>
      <c r="M116" s="12" t="str">
        <f t="shared" si="3"/>
        <v/>
      </c>
      <c r="N116" s="12" t="str">
        <f t="shared" si="4"/>
        <v/>
      </c>
      <c r="O116" s="12" t="str">
        <f t="shared" si="5"/>
        <v/>
      </c>
      <c r="AI116" s="8" t="s">
        <v>326</v>
      </c>
    </row>
    <row r="117" ht="15.75" customHeight="1">
      <c r="A117" s="2">
        <v>4.51170112E9</v>
      </c>
      <c r="B117" s="2" t="s">
        <v>327</v>
      </c>
      <c r="D117" s="2" t="s">
        <v>54</v>
      </c>
      <c r="E117" s="2" t="s">
        <v>84</v>
      </c>
      <c r="F117" s="11"/>
      <c r="G117" s="12"/>
      <c r="H117" s="13">
        <v>12000.0</v>
      </c>
      <c r="I117" s="2">
        <v>1.0</v>
      </c>
      <c r="K117" s="10">
        <f t="shared" si="1"/>
        <v>1</v>
      </c>
      <c r="L117" s="12">
        <f t="shared" si="2"/>
        <v>12000</v>
      </c>
      <c r="M117" s="12">
        <f t="shared" si="3"/>
        <v>0</v>
      </c>
      <c r="N117" s="12">
        <f t="shared" si="4"/>
        <v>0</v>
      </c>
      <c r="O117" s="12">
        <f t="shared" si="5"/>
        <v>0</v>
      </c>
      <c r="AI117" s="8" t="s">
        <v>328</v>
      </c>
    </row>
    <row r="118" ht="15.75" customHeight="1">
      <c r="A118" s="2">
        <v>4.691701134E9</v>
      </c>
      <c r="B118" s="2" t="s">
        <v>329</v>
      </c>
      <c r="D118" s="2" t="s">
        <v>54</v>
      </c>
      <c r="E118" s="2" t="s">
        <v>84</v>
      </c>
      <c r="F118" s="11"/>
      <c r="G118" s="12"/>
      <c r="H118" s="13">
        <v>25000.0</v>
      </c>
      <c r="I118" s="2">
        <v>1.0</v>
      </c>
      <c r="K118" s="10">
        <f t="shared" si="1"/>
        <v>1</v>
      </c>
      <c r="L118" s="12">
        <f t="shared" si="2"/>
        <v>25000</v>
      </c>
      <c r="M118" s="12">
        <f t="shared" si="3"/>
        <v>0</v>
      </c>
      <c r="N118" s="12">
        <f t="shared" si="4"/>
        <v>0</v>
      </c>
      <c r="O118" s="12">
        <f t="shared" si="5"/>
        <v>0</v>
      </c>
      <c r="AI118" s="8" t="s">
        <v>330</v>
      </c>
    </row>
    <row r="119" ht="15.75" customHeight="1">
      <c r="A119" s="2">
        <v>5.217011192E10</v>
      </c>
      <c r="B119" s="2" t="s">
        <v>331</v>
      </c>
      <c r="D119" s="2" t="s">
        <v>86</v>
      </c>
      <c r="E119" s="2" t="s">
        <v>84</v>
      </c>
      <c r="F119" s="11"/>
      <c r="G119" s="12"/>
      <c r="H119" s="13">
        <v>7000.0</v>
      </c>
      <c r="I119" s="2">
        <v>1.0</v>
      </c>
      <c r="K119" s="10">
        <f t="shared" si="1"/>
        <v>1</v>
      </c>
      <c r="L119" s="12">
        <f t="shared" si="2"/>
        <v>7000</v>
      </c>
      <c r="M119" s="12">
        <f t="shared" si="3"/>
        <v>0</v>
      </c>
      <c r="N119" s="12">
        <f t="shared" si="4"/>
        <v>0</v>
      </c>
      <c r="O119" s="12">
        <f t="shared" si="5"/>
        <v>0</v>
      </c>
      <c r="AI119" s="8" t="s">
        <v>332</v>
      </c>
    </row>
    <row r="120" ht="15.75" customHeight="1">
      <c r="A120" s="2">
        <v>4.691701116E9</v>
      </c>
      <c r="B120" s="2" t="s">
        <v>333</v>
      </c>
      <c r="D120" s="2" t="s">
        <v>54</v>
      </c>
      <c r="E120" s="2" t="s">
        <v>84</v>
      </c>
      <c r="F120" s="11"/>
      <c r="G120" s="12"/>
      <c r="H120" s="13">
        <v>25000.0</v>
      </c>
      <c r="I120" s="2">
        <v>1.0</v>
      </c>
      <c r="K120" s="10">
        <f t="shared" si="1"/>
        <v>1</v>
      </c>
      <c r="L120" s="12">
        <f t="shared" si="2"/>
        <v>25000</v>
      </c>
      <c r="M120" s="12">
        <f t="shared" si="3"/>
        <v>0</v>
      </c>
      <c r="N120" s="12">
        <f t="shared" si="4"/>
        <v>0</v>
      </c>
      <c r="O120" s="12">
        <f t="shared" si="5"/>
        <v>0</v>
      </c>
      <c r="AI120" s="8" t="s">
        <v>334</v>
      </c>
    </row>
    <row r="121" ht="15.75" customHeight="1">
      <c r="B121" s="2" t="s">
        <v>335</v>
      </c>
      <c r="D121" s="2" t="s">
        <v>86</v>
      </c>
      <c r="E121" s="2" t="s">
        <v>84</v>
      </c>
      <c r="F121" s="11"/>
      <c r="G121" s="12"/>
      <c r="H121" s="13">
        <v>15000.0</v>
      </c>
      <c r="I121" s="2">
        <v>3.0</v>
      </c>
      <c r="K121" s="10">
        <f t="shared" si="1"/>
        <v>3</v>
      </c>
      <c r="L121" s="12">
        <f t="shared" si="2"/>
        <v>45000</v>
      </c>
      <c r="M121" s="12" t="str">
        <f t="shared" si="3"/>
        <v/>
      </c>
      <c r="N121" s="12" t="str">
        <f t="shared" si="4"/>
        <v/>
      </c>
      <c r="O121" s="12" t="str">
        <f t="shared" si="5"/>
        <v/>
      </c>
      <c r="AI121" s="8" t="s">
        <v>336</v>
      </c>
    </row>
    <row r="122" ht="15.75" customHeight="1">
      <c r="A122" s="2">
        <v>4.52002304112E11</v>
      </c>
      <c r="B122" s="2" t="s">
        <v>337</v>
      </c>
      <c r="D122" s="2" t="s">
        <v>54</v>
      </c>
      <c r="E122" s="2" t="s">
        <v>84</v>
      </c>
      <c r="F122" s="11"/>
      <c r="G122" s="12"/>
      <c r="H122" s="13">
        <v>13000.0</v>
      </c>
      <c r="I122" s="2">
        <v>5.0</v>
      </c>
      <c r="K122" s="10">
        <f t="shared" si="1"/>
        <v>5</v>
      </c>
      <c r="L122" s="12">
        <f t="shared" si="2"/>
        <v>65000</v>
      </c>
      <c r="M122" s="12">
        <f t="shared" si="3"/>
        <v>0</v>
      </c>
      <c r="N122" s="12">
        <f t="shared" si="4"/>
        <v>0</v>
      </c>
      <c r="O122" s="12">
        <f t="shared" si="5"/>
        <v>0</v>
      </c>
      <c r="AI122" s="8" t="s">
        <v>338</v>
      </c>
    </row>
    <row r="123" ht="15.75" customHeight="1">
      <c r="A123" s="2" t="s">
        <v>339</v>
      </c>
      <c r="B123" s="2" t="s">
        <v>340</v>
      </c>
      <c r="D123" s="2" t="s">
        <v>88</v>
      </c>
      <c r="E123" s="2" t="s">
        <v>79</v>
      </c>
      <c r="F123" s="11"/>
      <c r="G123" s="12"/>
      <c r="H123" s="13">
        <v>5000.0</v>
      </c>
      <c r="I123" s="2">
        <v>2.0</v>
      </c>
      <c r="K123" s="10">
        <f t="shared" si="1"/>
        <v>2</v>
      </c>
      <c r="L123" s="12">
        <f t="shared" si="2"/>
        <v>10000</v>
      </c>
      <c r="M123" s="12">
        <f t="shared" si="3"/>
        <v>0</v>
      </c>
      <c r="N123" s="12">
        <f t="shared" si="4"/>
        <v>0</v>
      </c>
      <c r="O123" s="12">
        <f t="shared" si="5"/>
        <v>0</v>
      </c>
      <c r="AI123" s="8" t="s">
        <v>341</v>
      </c>
    </row>
    <row r="124" ht="15.75" customHeight="1">
      <c r="A124" s="2" t="s">
        <v>342</v>
      </c>
      <c r="B124" s="2" t="s">
        <v>343</v>
      </c>
      <c r="D124" s="2" t="s">
        <v>344</v>
      </c>
      <c r="E124" s="2" t="s">
        <v>148</v>
      </c>
      <c r="F124" s="11"/>
      <c r="G124" s="12"/>
      <c r="H124" s="13">
        <v>1500.0</v>
      </c>
      <c r="I124" s="2">
        <v>1.0</v>
      </c>
      <c r="K124" s="10">
        <f t="shared" si="1"/>
        <v>1</v>
      </c>
      <c r="L124" s="12">
        <f t="shared" si="2"/>
        <v>1500</v>
      </c>
      <c r="M124" s="12">
        <f t="shared" si="3"/>
        <v>0</v>
      </c>
      <c r="N124" s="12">
        <f t="shared" si="4"/>
        <v>0</v>
      </c>
      <c r="O124" s="12">
        <f t="shared" si="5"/>
        <v>0</v>
      </c>
      <c r="AI124" s="8" t="s">
        <v>345</v>
      </c>
    </row>
    <row r="125" ht="15.75" customHeight="1">
      <c r="A125" s="2">
        <v>3.741113902001E12</v>
      </c>
      <c r="B125" s="2" t="s">
        <v>346</v>
      </c>
      <c r="D125" s="2" t="s">
        <v>54</v>
      </c>
      <c r="E125" s="2" t="s">
        <v>148</v>
      </c>
      <c r="F125" s="11"/>
      <c r="G125" s="12"/>
      <c r="H125" s="13">
        <v>30000.0</v>
      </c>
      <c r="I125" s="2">
        <v>1.0</v>
      </c>
      <c r="K125" s="10">
        <f t="shared" si="1"/>
        <v>1</v>
      </c>
      <c r="L125" s="12">
        <f t="shared" si="2"/>
        <v>30000</v>
      </c>
      <c r="M125" s="12">
        <f t="shared" si="3"/>
        <v>0</v>
      </c>
      <c r="N125" s="12">
        <f t="shared" si="4"/>
        <v>0</v>
      </c>
      <c r="O125" s="12">
        <f t="shared" si="5"/>
        <v>0</v>
      </c>
      <c r="AI125" s="8" t="s">
        <v>347</v>
      </c>
    </row>
    <row r="126" ht="15.75" customHeight="1">
      <c r="B126" s="2" t="s">
        <v>348</v>
      </c>
      <c r="D126" s="2" t="s">
        <v>135</v>
      </c>
      <c r="E126" s="2" t="s">
        <v>79</v>
      </c>
      <c r="F126" s="11"/>
      <c r="G126" s="12"/>
      <c r="H126" s="13">
        <v>5000.0</v>
      </c>
      <c r="I126" s="2">
        <v>5.0</v>
      </c>
      <c r="K126" s="10">
        <f t="shared" si="1"/>
        <v>5</v>
      </c>
      <c r="L126" s="12">
        <f t="shared" si="2"/>
        <v>25000</v>
      </c>
      <c r="M126" s="12" t="str">
        <f t="shared" si="3"/>
        <v/>
      </c>
      <c r="N126" s="12" t="str">
        <f t="shared" si="4"/>
        <v/>
      </c>
      <c r="O126" s="12" t="str">
        <f t="shared" si="5"/>
        <v/>
      </c>
      <c r="AI126" s="8" t="s">
        <v>349</v>
      </c>
    </row>
    <row r="127" ht="15.75" customHeight="1">
      <c r="B127" s="2" t="s">
        <v>350</v>
      </c>
      <c r="D127" s="2" t="s">
        <v>135</v>
      </c>
      <c r="E127" s="2" t="s">
        <v>79</v>
      </c>
      <c r="F127" s="11"/>
      <c r="G127" s="12"/>
      <c r="H127" s="13">
        <v>8000.0</v>
      </c>
      <c r="I127" s="2">
        <v>3.0</v>
      </c>
      <c r="K127" s="10">
        <f t="shared" si="1"/>
        <v>3</v>
      </c>
      <c r="L127" s="12">
        <f t="shared" si="2"/>
        <v>24000</v>
      </c>
      <c r="M127" s="12" t="str">
        <f t="shared" si="3"/>
        <v/>
      </c>
      <c r="N127" s="12" t="str">
        <f t="shared" si="4"/>
        <v/>
      </c>
      <c r="O127" s="12" t="str">
        <f t="shared" si="5"/>
        <v/>
      </c>
      <c r="AI127" s="8" t="s">
        <v>351</v>
      </c>
    </row>
    <row r="128" ht="15.75" customHeight="1">
      <c r="B128" s="2" t="s">
        <v>352</v>
      </c>
      <c r="D128" s="2" t="s">
        <v>135</v>
      </c>
      <c r="E128" s="2" t="s">
        <v>148</v>
      </c>
      <c r="F128" s="11"/>
      <c r="G128" s="12"/>
      <c r="H128" s="13">
        <v>8000.0</v>
      </c>
      <c r="I128" s="2">
        <v>4.0</v>
      </c>
      <c r="K128" s="10">
        <f t="shared" si="1"/>
        <v>4</v>
      </c>
      <c r="L128" s="12">
        <f t="shared" si="2"/>
        <v>32000</v>
      </c>
      <c r="M128" s="12" t="str">
        <f t="shared" si="3"/>
        <v/>
      </c>
      <c r="N128" s="12" t="str">
        <f t="shared" si="4"/>
        <v/>
      </c>
      <c r="O128" s="12" t="str">
        <f t="shared" si="5"/>
        <v/>
      </c>
      <c r="AI128" s="8" t="s">
        <v>353</v>
      </c>
    </row>
    <row r="129" ht="15.75" customHeight="1">
      <c r="B129" s="2" t="s">
        <v>354</v>
      </c>
      <c r="D129" s="2" t="s">
        <v>54</v>
      </c>
      <c r="E129" s="2" t="s">
        <v>201</v>
      </c>
      <c r="F129" s="11"/>
      <c r="G129" s="12"/>
      <c r="H129" s="13">
        <v>3000.0</v>
      </c>
      <c r="I129" s="2">
        <v>2.0</v>
      </c>
      <c r="K129" s="10">
        <f t="shared" si="1"/>
        <v>2</v>
      </c>
      <c r="L129" s="12">
        <f t="shared" si="2"/>
        <v>6000</v>
      </c>
      <c r="M129" s="12" t="str">
        <f t="shared" si="3"/>
        <v/>
      </c>
      <c r="N129" s="12" t="str">
        <f t="shared" si="4"/>
        <v/>
      </c>
      <c r="O129" s="12" t="str">
        <f t="shared" si="5"/>
        <v/>
      </c>
      <c r="AI129" s="8" t="s">
        <v>355</v>
      </c>
    </row>
    <row r="130" ht="15.75" customHeight="1">
      <c r="B130" s="2" t="s">
        <v>356</v>
      </c>
      <c r="D130" s="2" t="s">
        <v>54</v>
      </c>
      <c r="E130" s="2" t="s">
        <v>84</v>
      </c>
      <c r="F130" s="11"/>
      <c r="G130" s="12"/>
      <c r="H130" s="13">
        <v>2000.0</v>
      </c>
      <c r="I130" s="2">
        <v>12.0</v>
      </c>
      <c r="K130" s="10">
        <f t="shared" si="1"/>
        <v>12</v>
      </c>
      <c r="L130" s="12">
        <f t="shared" si="2"/>
        <v>24000</v>
      </c>
      <c r="M130" s="12" t="str">
        <f t="shared" si="3"/>
        <v/>
      </c>
      <c r="N130" s="12" t="str">
        <f t="shared" si="4"/>
        <v/>
      </c>
      <c r="O130" s="12" t="str">
        <f t="shared" si="5"/>
        <v/>
      </c>
      <c r="AI130" s="8" t="s">
        <v>357</v>
      </c>
    </row>
    <row r="131" ht="15.75" customHeight="1">
      <c r="A131" s="2">
        <v>4.5150240306002E13</v>
      </c>
      <c r="B131" s="2" t="s">
        <v>358</v>
      </c>
      <c r="D131" s="2" t="s">
        <v>54</v>
      </c>
      <c r="E131" s="2" t="s">
        <v>84</v>
      </c>
      <c r="F131" s="11"/>
      <c r="G131" s="12"/>
      <c r="H131" s="13">
        <v>2000.0</v>
      </c>
      <c r="I131" s="2">
        <v>4.0</v>
      </c>
      <c r="K131" s="10">
        <f t="shared" si="1"/>
        <v>4</v>
      </c>
      <c r="L131" s="12">
        <f t="shared" si="2"/>
        <v>8000</v>
      </c>
      <c r="M131" s="12">
        <f t="shared" si="3"/>
        <v>0</v>
      </c>
      <c r="N131" s="12">
        <f t="shared" si="4"/>
        <v>0</v>
      </c>
      <c r="O131" s="12">
        <f t="shared" si="5"/>
        <v>0</v>
      </c>
      <c r="AI131" s="8" t="s">
        <v>359</v>
      </c>
    </row>
    <row r="132" ht="15.75" customHeight="1">
      <c r="A132" s="2">
        <v>4.2151306038E10</v>
      </c>
      <c r="B132" s="2" t="s">
        <v>360</v>
      </c>
      <c r="D132" s="2" t="s">
        <v>88</v>
      </c>
      <c r="E132" s="2" t="s">
        <v>79</v>
      </c>
      <c r="F132" s="11"/>
      <c r="G132" s="12"/>
      <c r="H132" s="13">
        <v>3000.0</v>
      </c>
      <c r="I132" s="2">
        <v>1.0</v>
      </c>
      <c r="K132" s="10">
        <f t="shared" si="1"/>
        <v>1</v>
      </c>
      <c r="L132" s="12">
        <f t="shared" si="2"/>
        <v>3000</v>
      </c>
      <c r="M132" s="12">
        <f t="shared" si="3"/>
        <v>0</v>
      </c>
      <c r="N132" s="12">
        <f t="shared" si="4"/>
        <v>0</v>
      </c>
      <c r="O132" s="12">
        <f t="shared" si="5"/>
        <v>0</v>
      </c>
      <c r="AI132" s="8" t="s">
        <v>361</v>
      </c>
    </row>
    <row r="133" ht="15.75" customHeight="1">
      <c r="B133" s="2" t="s">
        <v>362</v>
      </c>
      <c r="D133" s="2" t="s">
        <v>88</v>
      </c>
      <c r="E133" s="2" t="s">
        <v>79</v>
      </c>
      <c r="F133" s="11"/>
      <c r="G133" s="12"/>
      <c r="H133" s="13">
        <v>1500.0</v>
      </c>
      <c r="I133" s="2">
        <v>60.0</v>
      </c>
      <c r="K133" s="10">
        <f t="shared" si="1"/>
        <v>60</v>
      </c>
      <c r="L133" s="12">
        <f t="shared" si="2"/>
        <v>90000</v>
      </c>
      <c r="M133" s="12" t="str">
        <f t="shared" si="3"/>
        <v/>
      </c>
      <c r="N133" s="12" t="str">
        <f t="shared" si="4"/>
        <v/>
      </c>
      <c r="O133" s="12" t="str">
        <f t="shared" si="5"/>
        <v/>
      </c>
      <c r="AI133" s="8" t="s">
        <v>363</v>
      </c>
    </row>
    <row r="134" ht="15.75" customHeight="1">
      <c r="A134" s="2">
        <v>5.3121701302E10</v>
      </c>
      <c r="B134" s="2" t="s">
        <v>364</v>
      </c>
      <c r="D134" s="2" t="s">
        <v>78</v>
      </c>
      <c r="E134" s="2" t="s">
        <v>84</v>
      </c>
      <c r="F134" s="11"/>
      <c r="G134" s="12"/>
      <c r="H134" s="13">
        <v>16000.0</v>
      </c>
      <c r="I134" s="2">
        <v>7.0</v>
      </c>
      <c r="K134" s="10">
        <f t="shared" si="1"/>
        <v>7</v>
      </c>
      <c r="L134" s="12">
        <f t="shared" si="2"/>
        <v>112000</v>
      </c>
      <c r="M134" s="12">
        <f t="shared" si="3"/>
        <v>0</v>
      </c>
      <c r="N134" s="12">
        <f t="shared" si="4"/>
        <v>0</v>
      </c>
      <c r="O134" s="12">
        <f t="shared" si="5"/>
        <v>0</v>
      </c>
      <c r="AI134" s="8" t="s">
        <v>365</v>
      </c>
    </row>
    <row r="135" ht="15.75" customHeight="1">
      <c r="A135" s="2" t="s">
        <v>366</v>
      </c>
      <c r="B135" s="2" t="s">
        <v>367</v>
      </c>
      <c r="D135" s="2" t="s">
        <v>54</v>
      </c>
      <c r="E135" s="2" t="s">
        <v>84</v>
      </c>
      <c r="F135" s="11"/>
      <c r="G135" s="12"/>
      <c r="H135" s="13">
        <v>17000.0</v>
      </c>
      <c r="I135" s="2">
        <v>3.0</v>
      </c>
      <c r="K135" s="10">
        <f t="shared" si="1"/>
        <v>3</v>
      </c>
      <c r="L135" s="12">
        <f t="shared" si="2"/>
        <v>51000</v>
      </c>
      <c r="M135" s="12">
        <f t="shared" si="3"/>
        <v>0</v>
      </c>
      <c r="N135" s="12">
        <f t="shared" si="4"/>
        <v>0</v>
      </c>
      <c r="O135" s="12">
        <f t="shared" si="5"/>
        <v>0</v>
      </c>
      <c r="AI135" s="8" t="s">
        <v>368</v>
      </c>
    </row>
    <row r="136" ht="15.75" customHeight="1">
      <c r="B136" s="2" t="s">
        <v>369</v>
      </c>
      <c r="D136" s="2" t="s">
        <v>54</v>
      </c>
      <c r="E136" s="2" t="s">
        <v>84</v>
      </c>
      <c r="F136" s="11"/>
      <c r="G136" s="12"/>
      <c r="H136" s="13">
        <v>60000.0</v>
      </c>
      <c r="I136" s="2">
        <v>1.0</v>
      </c>
      <c r="K136" s="10">
        <f t="shared" si="1"/>
        <v>1</v>
      </c>
      <c r="L136" s="12">
        <f t="shared" si="2"/>
        <v>60000</v>
      </c>
      <c r="M136" s="12" t="str">
        <f t="shared" si="3"/>
        <v/>
      </c>
      <c r="N136" s="12" t="str">
        <f t="shared" si="4"/>
        <v/>
      </c>
      <c r="O136" s="12" t="str">
        <f t="shared" si="5"/>
        <v/>
      </c>
      <c r="AI136" s="8" t="s">
        <v>370</v>
      </c>
    </row>
    <row r="137" ht="15.75" customHeight="1">
      <c r="A137" s="2">
        <v>4.17100206E9</v>
      </c>
      <c r="B137" s="2" t="s">
        <v>371</v>
      </c>
      <c r="D137" s="2" t="s">
        <v>135</v>
      </c>
      <c r="E137" s="2" t="s">
        <v>79</v>
      </c>
      <c r="F137" s="11"/>
      <c r="G137" s="12"/>
      <c r="H137" s="13">
        <v>20000.0</v>
      </c>
      <c r="I137" s="2">
        <v>3.0</v>
      </c>
      <c r="K137" s="10">
        <f t="shared" si="1"/>
        <v>3</v>
      </c>
      <c r="L137" s="12">
        <f t="shared" si="2"/>
        <v>60000</v>
      </c>
      <c r="M137" s="12">
        <f t="shared" si="3"/>
        <v>0</v>
      </c>
      <c r="N137" s="12">
        <f t="shared" si="4"/>
        <v>0</v>
      </c>
      <c r="O137" s="12">
        <f t="shared" si="5"/>
        <v>0</v>
      </c>
      <c r="AI137" s="8" t="s">
        <v>372</v>
      </c>
    </row>
    <row r="138" ht="15.75" customHeight="1">
      <c r="A138" s="2">
        <v>6713709.0</v>
      </c>
      <c r="B138" s="2" t="s">
        <v>373</v>
      </c>
      <c r="D138" s="2" t="s">
        <v>54</v>
      </c>
      <c r="E138" s="2" t="s">
        <v>148</v>
      </c>
      <c r="F138" s="11"/>
      <c r="G138" s="12"/>
      <c r="H138" s="13">
        <v>6000.0</v>
      </c>
      <c r="I138" s="2">
        <v>1.0</v>
      </c>
      <c r="K138" s="10">
        <f t="shared" si="1"/>
        <v>1</v>
      </c>
      <c r="L138" s="12">
        <f t="shared" si="2"/>
        <v>6000</v>
      </c>
      <c r="M138" s="12">
        <f t="shared" si="3"/>
        <v>0</v>
      </c>
      <c r="N138" s="12">
        <f t="shared" si="4"/>
        <v>0</v>
      </c>
      <c r="O138" s="12">
        <f t="shared" si="5"/>
        <v>0</v>
      </c>
      <c r="AI138" s="8" t="s">
        <v>374</v>
      </c>
    </row>
    <row r="139" ht="15.75" customHeight="1">
      <c r="A139" s="2">
        <v>4.17110913E9</v>
      </c>
      <c r="B139" s="2" t="s">
        <v>375</v>
      </c>
      <c r="D139" s="2" t="s">
        <v>88</v>
      </c>
      <c r="E139" s="2" t="s">
        <v>79</v>
      </c>
      <c r="F139" s="11"/>
      <c r="G139" s="12"/>
      <c r="H139" s="13">
        <v>4000.0</v>
      </c>
      <c r="I139" s="2">
        <v>1.0</v>
      </c>
      <c r="K139" s="10">
        <f t="shared" si="1"/>
        <v>1</v>
      </c>
      <c r="L139" s="12">
        <f t="shared" si="2"/>
        <v>4000</v>
      </c>
      <c r="M139" s="12">
        <f t="shared" si="3"/>
        <v>0</v>
      </c>
      <c r="N139" s="12">
        <f t="shared" si="4"/>
        <v>0</v>
      </c>
      <c r="O139" s="12">
        <f t="shared" si="5"/>
        <v>0</v>
      </c>
      <c r="AI139" s="8" t="s">
        <v>376</v>
      </c>
    </row>
    <row r="140" ht="15.75" customHeight="1">
      <c r="B140" s="2" t="s">
        <v>377</v>
      </c>
      <c r="D140" s="2" t="s">
        <v>54</v>
      </c>
      <c r="E140" s="2" t="s">
        <v>201</v>
      </c>
      <c r="F140" s="11"/>
      <c r="G140" s="12"/>
      <c r="H140" s="13">
        <v>6000.0</v>
      </c>
      <c r="I140" s="2">
        <v>4.0</v>
      </c>
      <c r="K140" s="10">
        <f t="shared" si="1"/>
        <v>4</v>
      </c>
      <c r="L140" s="12">
        <f t="shared" si="2"/>
        <v>24000</v>
      </c>
      <c r="M140" s="12" t="str">
        <f t="shared" si="3"/>
        <v/>
      </c>
      <c r="N140" s="12" t="str">
        <f t="shared" si="4"/>
        <v/>
      </c>
      <c r="O140" s="12" t="str">
        <f t="shared" si="5"/>
        <v/>
      </c>
      <c r="AI140" s="8" t="s">
        <v>378</v>
      </c>
    </row>
    <row r="141" ht="15.75" customHeight="1">
      <c r="B141" s="2" t="s">
        <v>379</v>
      </c>
      <c r="D141" s="2" t="s">
        <v>263</v>
      </c>
      <c r="E141" s="2" t="s">
        <v>84</v>
      </c>
      <c r="F141" s="11"/>
      <c r="G141" s="12"/>
      <c r="H141" s="13">
        <v>6000.0</v>
      </c>
      <c r="I141" s="2">
        <v>1.0</v>
      </c>
      <c r="K141" s="10">
        <f t="shared" si="1"/>
        <v>1</v>
      </c>
      <c r="L141" s="12">
        <f t="shared" si="2"/>
        <v>6000</v>
      </c>
      <c r="M141" s="12" t="str">
        <f t="shared" si="3"/>
        <v/>
      </c>
      <c r="N141" s="12" t="str">
        <f t="shared" si="4"/>
        <v/>
      </c>
      <c r="O141" s="12" t="str">
        <f t="shared" si="5"/>
        <v/>
      </c>
      <c r="AI141" s="8" t="s">
        <v>380</v>
      </c>
    </row>
    <row r="142" ht="15.75" customHeight="1">
      <c r="A142" s="2" t="s">
        <v>381</v>
      </c>
      <c r="B142" s="2" t="s">
        <v>382</v>
      </c>
      <c r="D142" s="2" t="s">
        <v>54</v>
      </c>
      <c r="E142" s="2" t="s">
        <v>84</v>
      </c>
      <c r="F142" s="11"/>
      <c r="G142" s="12"/>
      <c r="H142" s="13">
        <v>10000.0</v>
      </c>
      <c r="I142" s="2">
        <v>7.0</v>
      </c>
      <c r="K142" s="10">
        <f t="shared" si="1"/>
        <v>7</v>
      </c>
      <c r="L142" s="12">
        <f t="shared" si="2"/>
        <v>70000</v>
      </c>
      <c r="M142" s="12">
        <f t="shared" si="3"/>
        <v>0</v>
      </c>
      <c r="N142" s="12">
        <f t="shared" si="4"/>
        <v>0</v>
      </c>
      <c r="O142" s="12">
        <f t="shared" si="5"/>
        <v>0</v>
      </c>
      <c r="AI142" s="8" t="s">
        <v>383</v>
      </c>
    </row>
    <row r="143" ht="15.75" customHeight="1">
      <c r="A143" s="2" t="s">
        <v>384</v>
      </c>
      <c r="B143" s="2" t="s">
        <v>385</v>
      </c>
      <c r="D143" s="2" t="s">
        <v>54</v>
      </c>
      <c r="E143" s="2" t="s">
        <v>84</v>
      </c>
      <c r="F143" s="11"/>
      <c r="G143" s="12"/>
      <c r="H143" s="13">
        <v>4000.0</v>
      </c>
      <c r="I143" s="2">
        <v>2.0</v>
      </c>
      <c r="K143" s="10">
        <f t="shared" si="1"/>
        <v>2</v>
      </c>
      <c r="L143" s="12">
        <f t="shared" si="2"/>
        <v>8000</v>
      </c>
      <c r="M143" s="12"/>
      <c r="N143" s="12">
        <f t="shared" si="4"/>
        <v>0</v>
      </c>
      <c r="O143" s="12">
        <f t="shared" si="5"/>
        <v>0</v>
      </c>
      <c r="AI143" s="8" t="s">
        <v>386</v>
      </c>
    </row>
    <row r="144" ht="15.75" customHeight="1">
      <c r="A144" s="2" t="s">
        <v>387</v>
      </c>
      <c r="B144" s="2" t="s">
        <v>388</v>
      </c>
      <c r="D144" s="2" t="s">
        <v>54</v>
      </c>
      <c r="E144" s="2" t="s">
        <v>84</v>
      </c>
      <c r="F144" s="11"/>
      <c r="G144" s="12"/>
      <c r="H144" s="13">
        <v>4000.0</v>
      </c>
      <c r="I144" s="2">
        <v>2.0</v>
      </c>
      <c r="K144" s="10">
        <f t="shared" si="1"/>
        <v>2</v>
      </c>
      <c r="L144" s="12">
        <f t="shared" si="2"/>
        <v>8000</v>
      </c>
      <c r="M144" s="12">
        <f t="shared" ref="M144:M501" si="6">IF(A144="","",H144*J144)</f>
        <v>0</v>
      </c>
      <c r="N144" s="12">
        <f t="shared" si="4"/>
        <v>0</v>
      </c>
      <c r="O144" s="12">
        <f t="shared" si="5"/>
        <v>0</v>
      </c>
      <c r="AI144" s="8" t="s">
        <v>389</v>
      </c>
    </row>
    <row r="145" ht="15.75" customHeight="1">
      <c r="A145" s="2" t="s">
        <v>390</v>
      </c>
      <c r="B145" s="2" t="s">
        <v>391</v>
      </c>
      <c r="E145" s="2" t="s">
        <v>82</v>
      </c>
      <c r="F145" s="11"/>
      <c r="G145" s="12"/>
      <c r="H145" s="13">
        <v>4000.0</v>
      </c>
      <c r="I145" s="2">
        <v>3.0</v>
      </c>
      <c r="K145" s="10">
        <f t="shared" si="1"/>
        <v>3</v>
      </c>
      <c r="L145" s="12">
        <f t="shared" si="2"/>
        <v>12000</v>
      </c>
      <c r="M145" s="12">
        <f t="shared" si="6"/>
        <v>0</v>
      </c>
      <c r="N145" s="12">
        <f t="shared" si="4"/>
        <v>0</v>
      </c>
      <c r="O145" s="12">
        <f t="shared" si="5"/>
        <v>0</v>
      </c>
      <c r="AI145" s="8" t="s">
        <v>392</v>
      </c>
    </row>
    <row r="146" ht="15.75" customHeight="1">
      <c r="A146" s="2" t="s">
        <v>393</v>
      </c>
      <c r="B146" s="2" t="s">
        <v>394</v>
      </c>
      <c r="D146" s="2" t="s">
        <v>54</v>
      </c>
      <c r="E146" s="2" t="s">
        <v>84</v>
      </c>
      <c r="F146" s="11"/>
      <c r="G146" s="12"/>
      <c r="H146" s="13">
        <v>4000.0</v>
      </c>
      <c r="I146" s="2">
        <v>12.0</v>
      </c>
      <c r="K146" s="10">
        <f t="shared" si="1"/>
        <v>12</v>
      </c>
      <c r="L146" s="12">
        <f t="shared" si="2"/>
        <v>48000</v>
      </c>
      <c r="M146" s="12">
        <f t="shared" si="6"/>
        <v>0</v>
      </c>
      <c r="N146" s="12">
        <f t="shared" si="4"/>
        <v>0</v>
      </c>
      <c r="O146" s="12">
        <f t="shared" si="5"/>
        <v>0</v>
      </c>
      <c r="AI146" s="8" t="s">
        <v>395</v>
      </c>
    </row>
    <row r="147" ht="15.75" customHeight="1">
      <c r="A147" s="19" t="s">
        <v>396</v>
      </c>
      <c r="B147" s="20" t="s">
        <v>397</v>
      </c>
      <c r="D147" s="2" t="s">
        <v>54</v>
      </c>
      <c r="E147" s="2" t="s">
        <v>84</v>
      </c>
      <c r="F147" s="11"/>
      <c r="G147" s="12"/>
      <c r="H147" s="13">
        <v>4000.0</v>
      </c>
      <c r="I147" s="2">
        <v>1.0</v>
      </c>
      <c r="K147" s="10">
        <f>I146-J147</f>
        <v>12</v>
      </c>
      <c r="L147" s="12">
        <f t="shared" si="2"/>
        <v>48000</v>
      </c>
      <c r="M147" s="12">
        <f t="shared" si="6"/>
        <v>0</v>
      </c>
      <c r="N147" s="12">
        <f t="shared" si="4"/>
        <v>0</v>
      </c>
      <c r="O147" s="12">
        <f t="shared" si="5"/>
        <v>0</v>
      </c>
      <c r="AI147" s="8" t="s">
        <v>398</v>
      </c>
    </row>
    <row r="148" ht="15.75" customHeight="1">
      <c r="A148" s="2" t="s">
        <v>399</v>
      </c>
      <c r="B148" s="2" t="s">
        <v>400</v>
      </c>
      <c r="D148" s="2" t="s">
        <v>54</v>
      </c>
      <c r="E148" s="2" t="s">
        <v>84</v>
      </c>
      <c r="F148" s="11"/>
      <c r="G148" s="12"/>
      <c r="H148" s="13">
        <v>4000.0</v>
      </c>
      <c r="I148" s="2">
        <v>7.0</v>
      </c>
      <c r="K148" s="10">
        <f t="shared" ref="K148:K501" si="7">I148-J148</f>
        <v>7</v>
      </c>
      <c r="L148" s="12">
        <f t="shared" si="2"/>
        <v>28000</v>
      </c>
      <c r="M148" s="12">
        <f t="shared" si="6"/>
        <v>0</v>
      </c>
      <c r="N148" s="12">
        <f t="shared" si="4"/>
        <v>0</v>
      </c>
      <c r="O148" s="12">
        <f t="shared" si="5"/>
        <v>0</v>
      </c>
      <c r="AI148" s="8" t="s">
        <v>401</v>
      </c>
    </row>
    <row r="149" ht="15.75" customHeight="1">
      <c r="B149" s="2" t="s">
        <v>402</v>
      </c>
      <c r="E149" s="2" t="s">
        <v>82</v>
      </c>
      <c r="F149" s="11"/>
      <c r="G149" s="12"/>
      <c r="H149" s="13">
        <v>4000.0</v>
      </c>
      <c r="I149" s="2">
        <v>2.0</v>
      </c>
      <c r="K149" s="10">
        <f t="shared" si="7"/>
        <v>2</v>
      </c>
      <c r="L149" s="12">
        <f t="shared" si="2"/>
        <v>8000</v>
      </c>
      <c r="M149" s="12" t="str">
        <f t="shared" si="6"/>
        <v/>
      </c>
      <c r="N149" s="12" t="str">
        <f t="shared" si="4"/>
        <v/>
      </c>
      <c r="O149" s="12" t="str">
        <f t="shared" si="5"/>
        <v/>
      </c>
      <c r="AI149" s="8" t="s">
        <v>403</v>
      </c>
    </row>
    <row r="150" ht="15.75" customHeight="1">
      <c r="B150" s="2" t="s">
        <v>404</v>
      </c>
      <c r="E150" s="2" t="s">
        <v>82</v>
      </c>
      <c r="F150" s="11"/>
      <c r="G150" s="12"/>
      <c r="H150" s="13">
        <v>4000.0</v>
      </c>
      <c r="I150" s="2">
        <v>1.0</v>
      </c>
      <c r="K150" s="10">
        <f t="shared" si="7"/>
        <v>1</v>
      </c>
      <c r="L150" s="12">
        <f t="shared" si="2"/>
        <v>4000</v>
      </c>
      <c r="M150" s="12" t="str">
        <f t="shared" si="6"/>
        <v/>
      </c>
      <c r="N150" s="12" t="str">
        <f t="shared" si="4"/>
        <v/>
      </c>
      <c r="O150" s="12" t="str">
        <f t="shared" si="5"/>
        <v/>
      </c>
      <c r="AI150" s="8" t="s">
        <v>405</v>
      </c>
    </row>
    <row r="151" ht="15.75" customHeight="1">
      <c r="A151" s="2" t="s">
        <v>406</v>
      </c>
      <c r="B151" s="2" t="s">
        <v>407</v>
      </c>
      <c r="D151" s="2" t="s">
        <v>78</v>
      </c>
      <c r="E151" s="2" t="s">
        <v>84</v>
      </c>
      <c r="F151" s="11"/>
      <c r="G151" s="12"/>
      <c r="H151" s="13">
        <v>3000.0</v>
      </c>
      <c r="I151" s="2">
        <v>5.0</v>
      </c>
      <c r="K151" s="10">
        <f t="shared" si="7"/>
        <v>5</v>
      </c>
      <c r="L151" s="12">
        <f t="shared" si="2"/>
        <v>15000</v>
      </c>
      <c r="M151" s="12">
        <f t="shared" si="6"/>
        <v>0</v>
      </c>
      <c r="N151" s="12">
        <f t="shared" si="4"/>
        <v>0</v>
      </c>
      <c r="O151" s="12">
        <f t="shared" si="5"/>
        <v>0</v>
      </c>
      <c r="AI151" s="8" t="s">
        <v>408</v>
      </c>
    </row>
    <row r="152" ht="15.75" customHeight="1">
      <c r="A152" s="2">
        <v>57707.0</v>
      </c>
      <c r="B152" s="2" t="s">
        <v>409</v>
      </c>
      <c r="D152" s="2" t="s">
        <v>54</v>
      </c>
      <c r="E152" s="2" t="s">
        <v>84</v>
      </c>
      <c r="F152" s="11"/>
      <c r="G152" s="12"/>
      <c r="H152" s="13">
        <v>9000.0</v>
      </c>
      <c r="I152" s="2">
        <v>5.0</v>
      </c>
      <c r="K152" s="10">
        <f t="shared" si="7"/>
        <v>5</v>
      </c>
      <c r="L152" s="12">
        <f t="shared" si="2"/>
        <v>45000</v>
      </c>
      <c r="M152" s="12">
        <f t="shared" si="6"/>
        <v>0</v>
      </c>
      <c r="N152" s="12">
        <f t="shared" si="4"/>
        <v>0</v>
      </c>
      <c r="O152" s="12">
        <f t="shared" si="5"/>
        <v>0</v>
      </c>
      <c r="AI152" s="8" t="s">
        <v>410</v>
      </c>
    </row>
    <row r="153" ht="15.75" customHeight="1">
      <c r="A153" s="2">
        <v>3207.0</v>
      </c>
      <c r="B153" s="2" t="s">
        <v>411</v>
      </c>
      <c r="D153" s="2" t="s">
        <v>54</v>
      </c>
      <c r="E153" s="2" t="s">
        <v>84</v>
      </c>
      <c r="F153" s="11"/>
      <c r="G153" s="12"/>
      <c r="H153" s="13">
        <v>5000.0</v>
      </c>
      <c r="I153" s="2">
        <v>4.0</v>
      </c>
      <c r="K153" s="10">
        <f t="shared" si="7"/>
        <v>4</v>
      </c>
      <c r="L153" s="12">
        <f t="shared" si="2"/>
        <v>20000</v>
      </c>
      <c r="M153" s="12">
        <f t="shared" si="6"/>
        <v>0</v>
      </c>
      <c r="N153" s="12">
        <f t="shared" si="4"/>
        <v>0</v>
      </c>
      <c r="O153" s="12">
        <f t="shared" si="5"/>
        <v>0</v>
      </c>
      <c r="AI153" s="8" t="s">
        <v>412</v>
      </c>
    </row>
    <row r="154" ht="15.75" customHeight="1">
      <c r="A154" s="2" t="s">
        <v>413</v>
      </c>
      <c r="B154" s="2" t="s">
        <v>414</v>
      </c>
      <c r="D154" s="2" t="s">
        <v>93</v>
      </c>
      <c r="E154" s="2" t="s">
        <v>84</v>
      </c>
      <c r="F154" s="11"/>
      <c r="G154" s="12"/>
      <c r="H154" s="13">
        <v>6000.0</v>
      </c>
      <c r="I154" s="2">
        <v>2.0</v>
      </c>
      <c r="K154" s="10">
        <f t="shared" si="7"/>
        <v>2</v>
      </c>
      <c r="L154" s="12">
        <f t="shared" si="2"/>
        <v>12000</v>
      </c>
      <c r="M154" s="12">
        <f t="shared" si="6"/>
        <v>0</v>
      </c>
      <c r="N154" s="12">
        <f t="shared" si="4"/>
        <v>0</v>
      </c>
      <c r="O154" s="12">
        <f t="shared" si="5"/>
        <v>0</v>
      </c>
      <c r="AI154" s="8" t="s">
        <v>415</v>
      </c>
    </row>
    <row r="155" ht="15.75" customHeight="1">
      <c r="B155" s="2" t="s">
        <v>416</v>
      </c>
      <c r="D155" s="2" t="s">
        <v>54</v>
      </c>
      <c r="E155" s="2" t="s">
        <v>84</v>
      </c>
      <c r="F155" s="11"/>
      <c r="G155" s="12"/>
      <c r="H155" s="13">
        <v>4000.0</v>
      </c>
      <c r="I155" s="2">
        <v>13.0</v>
      </c>
      <c r="K155" s="10">
        <f t="shared" si="7"/>
        <v>13</v>
      </c>
      <c r="L155" s="12">
        <f t="shared" si="2"/>
        <v>52000</v>
      </c>
      <c r="M155" s="12" t="str">
        <f t="shared" si="6"/>
        <v/>
      </c>
      <c r="N155" s="12" t="str">
        <f t="shared" si="4"/>
        <v/>
      </c>
      <c r="O155" s="12" t="str">
        <f t="shared" si="5"/>
        <v/>
      </c>
      <c r="AI155" s="8" t="s">
        <v>417</v>
      </c>
    </row>
    <row r="156" ht="15.75" customHeight="1">
      <c r="A156" s="2" t="s">
        <v>418</v>
      </c>
      <c r="B156" s="2" t="s">
        <v>419</v>
      </c>
      <c r="D156" s="2" t="s">
        <v>54</v>
      </c>
      <c r="E156" s="2" t="s">
        <v>84</v>
      </c>
      <c r="F156" s="11"/>
      <c r="G156" s="12"/>
      <c r="H156" s="13">
        <v>5000.0</v>
      </c>
      <c r="I156" s="2">
        <v>1.0</v>
      </c>
      <c r="K156" s="10">
        <f t="shared" si="7"/>
        <v>1</v>
      </c>
      <c r="L156" s="12">
        <f t="shared" si="2"/>
        <v>5000</v>
      </c>
      <c r="M156" s="12">
        <f t="shared" si="6"/>
        <v>0</v>
      </c>
      <c r="N156" s="12">
        <f t="shared" si="4"/>
        <v>0</v>
      </c>
      <c r="O156" s="12">
        <f t="shared" si="5"/>
        <v>0</v>
      </c>
      <c r="AI156" s="8" t="s">
        <v>420</v>
      </c>
    </row>
    <row r="157" ht="15.75" customHeight="1">
      <c r="A157" s="2" t="s">
        <v>421</v>
      </c>
      <c r="B157" s="2" t="s">
        <v>422</v>
      </c>
      <c r="D157" s="2" t="s">
        <v>54</v>
      </c>
      <c r="E157" s="2" t="s">
        <v>84</v>
      </c>
      <c r="F157" s="11"/>
      <c r="G157" s="12"/>
      <c r="H157" s="13">
        <v>5000.0</v>
      </c>
      <c r="I157" s="2">
        <v>17.0</v>
      </c>
      <c r="K157" s="10">
        <f t="shared" si="7"/>
        <v>17</v>
      </c>
      <c r="L157" s="12">
        <f t="shared" si="2"/>
        <v>85000</v>
      </c>
      <c r="M157" s="12">
        <f t="shared" si="6"/>
        <v>0</v>
      </c>
      <c r="N157" s="12">
        <f t="shared" si="4"/>
        <v>0</v>
      </c>
      <c r="O157" s="12">
        <f t="shared" si="5"/>
        <v>0</v>
      </c>
      <c r="AI157" s="8" t="s">
        <v>423</v>
      </c>
    </row>
    <row r="158" ht="15.75" customHeight="1">
      <c r="B158" s="2" t="s">
        <v>424</v>
      </c>
      <c r="D158" s="2" t="s">
        <v>54</v>
      </c>
      <c r="E158" s="2" t="s">
        <v>84</v>
      </c>
      <c r="F158" s="11"/>
      <c r="G158" s="12"/>
      <c r="H158" s="13">
        <v>50000.0</v>
      </c>
      <c r="I158" s="2">
        <v>6.0</v>
      </c>
      <c r="K158" s="10">
        <f t="shared" si="7"/>
        <v>6</v>
      </c>
      <c r="L158" s="12">
        <f t="shared" si="2"/>
        <v>300000</v>
      </c>
      <c r="M158" s="12" t="str">
        <f t="shared" si="6"/>
        <v/>
      </c>
      <c r="N158" s="12" t="str">
        <f t="shared" si="4"/>
        <v/>
      </c>
      <c r="O158" s="12" t="str">
        <f t="shared" si="5"/>
        <v/>
      </c>
      <c r="AI158" s="8" t="s">
        <v>425</v>
      </c>
    </row>
    <row r="159" ht="15.75" customHeight="1">
      <c r="B159" s="2" t="s">
        <v>426</v>
      </c>
      <c r="D159" s="2" t="s">
        <v>54</v>
      </c>
      <c r="E159" s="2" t="s">
        <v>84</v>
      </c>
      <c r="F159" s="11"/>
      <c r="G159" s="12"/>
      <c r="H159" s="13">
        <v>50000.0</v>
      </c>
      <c r="I159" s="2">
        <v>3.0</v>
      </c>
      <c r="K159" s="10">
        <f t="shared" si="7"/>
        <v>3</v>
      </c>
      <c r="L159" s="12">
        <f t="shared" si="2"/>
        <v>150000</v>
      </c>
      <c r="M159" s="12" t="str">
        <f t="shared" si="6"/>
        <v/>
      </c>
      <c r="N159" s="12" t="str">
        <f t="shared" si="4"/>
        <v/>
      </c>
      <c r="O159" s="12" t="str">
        <f t="shared" si="5"/>
        <v/>
      </c>
      <c r="AI159" s="8" t="s">
        <v>427</v>
      </c>
    </row>
    <row r="160" ht="15.75" customHeight="1">
      <c r="A160" s="2">
        <v>2.1130701E8</v>
      </c>
      <c r="B160" s="2" t="s">
        <v>428</v>
      </c>
      <c r="D160" s="2" t="s">
        <v>135</v>
      </c>
      <c r="E160" s="2" t="s">
        <v>79</v>
      </c>
      <c r="F160" s="11"/>
      <c r="G160" s="12"/>
      <c r="H160" s="13">
        <v>15000.0</v>
      </c>
      <c r="I160" s="2">
        <v>1.0</v>
      </c>
      <c r="K160" s="10">
        <f t="shared" si="7"/>
        <v>1</v>
      </c>
      <c r="L160" s="12">
        <f t="shared" si="2"/>
        <v>15000</v>
      </c>
      <c r="M160" s="12">
        <f t="shared" si="6"/>
        <v>0</v>
      </c>
      <c r="N160" s="12">
        <f t="shared" si="4"/>
        <v>0</v>
      </c>
      <c r="O160" s="12">
        <f t="shared" si="5"/>
        <v>0</v>
      </c>
      <c r="AI160" s="8" t="s">
        <v>429</v>
      </c>
    </row>
    <row r="161" ht="15.75" customHeight="1">
      <c r="A161" s="2">
        <v>2.410001001E10</v>
      </c>
      <c r="B161" s="2" t="s">
        <v>430</v>
      </c>
      <c r="D161" s="2" t="s">
        <v>78</v>
      </c>
      <c r="E161" s="2" t="s">
        <v>79</v>
      </c>
      <c r="F161" s="11"/>
      <c r="G161" s="12"/>
      <c r="H161" s="13">
        <v>8000.0</v>
      </c>
      <c r="I161" s="2">
        <v>7.0</v>
      </c>
      <c r="K161" s="10">
        <f t="shared" si="7"/>
        <v>7</v>
      </c>
      <c r="L161" s="12">
        <f t="shared" si="2"/>
        <v>56000</v>
      </c>
      <c r="M161" s="12">
        <f t="shared" si="6"/>
        <v>0</v>
      </c>
      <c r="N161" s="12">
        <f t="shared" si="4"/>
        <v>0</v>
      </c>
      <c r="O161" s="12">
        <f t="shared" si="5"/>
        <v>0</v>
      </c>
      <c r="AI161" s="8" t="s">
        <v>431</v>
      </c>
    </row>
    <row r="162" ht="15.75" customHeight="1">
      <c r="A162" s="2">
        <v>4.2113081E9</v>
      </c>
      <c r="B162" s="2" t="s">
        <v>432</v>
      </c>
      <c r="D162" s="2" t="s">
        <v>135</v>
      </c>
      <c r="E162" s="2" t="s">
        <v>79</v>
      </c>
      <c r="F162" s="11"/>
      <c r="G162" s="12"/>
      <c r="H162" s="13">
        <v>15000.0</v>
      </c>
      <c r="I162" s="2">
        <v>2.0</v>
      </c>
      <c r="K162" s="10">
        <f t="shared" si="7"/>
        <v>2</v>
      </c>
      <c r="L162" s="12">
        <f t="shared" si="2"/>
        <v>30000</v>
      </c>
      <c r="M162" s="12">
        <f t="shared" si="6"/>
        <v>0</v>
      </c>
      <c r="N162" s="12">
        <f t="shared" si="4"/>
        <v>0</v>
      </c>
      <c r="O162" s="12">
        <f t="shared" si="5"/>
        <v>0</v>
      </c>
      <c r="AI162" s="8" t="s">
        <v>433</v>
      </c>
    </row>
    <row r="163" ht="15.75" customHeight="1">
      <c r="A163" s="2">
        <v>4.6900110401E11</v>
      </c>
      <c r="B163" s="2" t="s">
        <v>434</v>
      </c>
      <c r="D163" s="2" t="s">
        <v>54</v>
      </c>
      <c r="E163" s="2" t="s">
        <v>435</v>
      </c>
      <c r="F163" s="11"/>
      <c r="G163" s="12"/>
      <c r="H163" s="13">
        <v>8000.0</v>
      </c>
      <c r="I163" s="2">
        <v>7.0</v>
      </c>
      <c r="K163" s="10">
        <f t="shared" si="7"/>
        <v>7</v>
      </c>
      <c r="L163" s="12">
        <f t="shared" si="2"/>
        <v>56000</v>
      </c>
      <c r="M163" s="12">
        <f t="shared" si="6"/>
        <v>0</v>
      </c>
      <c r="N163" s="12">
        <f t="shared" si="4"/>
        <v>0</v>
      </c>
      <c r="O163" s="12">
        <f t="shared" si="5"/>
        <v>0</v>
      </c>
      <c r="AI163" s="8" t="s">
        <v>436</v>
      </c>
    </row>
    <row r="164" ht="15.75" customHeight="1">
      <c r="B164" s="2" t="s">
        <v>437</v>
      </c>
      <c r="D164" s="2" t="s">
        <v>54</v>
      </c>
      <c r="E164" s="2" t="s">
        <v>183</v>
      </c>
      <c r="F164" s="11"/>
      <c r="G164" s="12"/>
      <c r="H164" s="13">
        <v>300.0</v>
      </c>
      <c r="I164" s="2">
        <v>34.0</v>
      </c>
      <c r="K164" s="10">
        <f t="shared" si="7"/>
        <v>34</v>
      </c>
      <c r="L164" s="12">
        <f t="shared" si="2"/>
        <v>10200</v>
      </c>
      <c r="M164" s="12" t="str">
        <f t="shared" si="6"/>
        <v/>
      </c>
      <c r="N164" s="12" t="str">
        <f t="shared" si="4"/>
        <v/>
      </c>
      <c r="O164" s="12" t="str">
        <f t="shared" si="5"/>
        <v/>
      </c>
      <c r="AI164" s="8" t="s">
        <v>438</v>
      </c>
    </row>
    <row r="165" ht="15.75" customHeight="1">
      <c r="A165" s="2">
        <v>2.4100808E8</v>
      </c>
      <c r="B165" s="2" t="s">
        <v>439</v>
      </c>
      <c r="D165" s="2" t="s">
        <v>88</v>
      </c>
      <c r="E165" s="2" t="s">
        <v>79</v>
      </c>
      <c r="F165" s="11"/>
      <c r="G165" s="12"/>
      <c r="H165" s="13">
        <v>2000.0</v>
      </c>
      <c r="I165" s="2">
        <v>3.0</v>
      </c>
      <c r="K165" s="10">
        <f t="shared" si="7"/>
        <v>3</v>
      </c>
      <c r="L165" s="12">
        <f t="shared" si="2"/>
        <v>6000</v>
      </c>
      <c r="M165" s="12">
        <f t="shared" si="6"/>
        <v>0</v>
      </c>
      <c r="N165" s="12">
        <f t="shared" si="4"/>
        <v>0</v>
      </c>
      <c r="O165" s="12">
        <f t="shared" si="5"/>
        <v>0</v>
      </c>
      <c r="AI165" s="8" t="s">
        <v>440</v>
      </c>
    </row>
    <row r="166" ht="15.75" customHeight="1">
      <c r="A166" s="2">
        <v>2.1100808E8</v>
      </c>
      <c r="B166" s="2" t="s">
        <v>441</v>
      </c>
      <c r="D166" s="2" t="s">
        <v>88</v>
      </c>
      <c r="E166" s="2" t="s">
        <v>79</v>
      </c>
      <c r="F166" s="11"/>
      <c r="G166" s="12"/>
      <c r="H166" s="13">
        <v>2000.0</v>
      </c>
      <c r="I166" s="2">
        <v>6.0</v>
      </c>
      <c r="K166" s="10">
        <f t="shared" si="7"/>
        <v>6</v>
      </c>
      <c r="L166" s="12">
        <f t="shared" si="2"/>
        <v>12000</v>
      </c>
      <c r="M166" s="12">
        <f t="shared" si="6"/>
        <v>0</v>
      </c>
      <c r="N166" s="12">
        <f t="shared" si="4"/>
        <v>0</v>
      </c>
      <c r="O166" s="12">
        <f t="shared" si="5"/>
        <v>0</v>
      </c>
      <c r="AI166" s="8" t="s">
        <v>442</v>
      </c>
    </row>
    <row r="167" ht="15.75" customHeight="1">
      <c r="A167" s="2">
        <v>6.6100302E8</v>
      </c>
      <c r="B167" s="2" t="s">
        <v>443</v>
      </c>
      <c r="D167" s="2" t="s">
        <v>86</v>
      </c>
      <c r="E167" s="2" t="s">
        <v>79</v>
      </c>
      <c r="F167" s="11"/>
      <c r="G167" s="12"/>
      <c r="H167" s="13">
        <v>4000.0</v>
      </c>
      <c r="I167" s="2">
        <v>9.0</v>
      </c>
      <c r="K167" s="10">
        <f t="shared" si="7"/>
        <v>9</v>
      </c>
      <c r="L167" s="12">
        <f t="shared" si="2"/>
        <v>36000</v>
      </c>
      <c r="M167" s="12">
        <f t="shared" si="6"/>
        <v>0</v>
      </c>
      <c r="N167" s="12">
        <f t="shared" si="4"/>
        <v>0</v>
      </c>
      <c r="O167" s="12">
        <f t="shared" si="5"/>
        <v>0</v>
      </c>
      <c r="AI167" s="8" t="s">
        <v>444</v>
      </c>
    </row>
    <row r="168" ht="15.75" customHeight="1">
      <c r="A168" s="2">
        <v>4.17100302E9</v>
      </c>
      <c r="B168" s="2" t="s">
        <v>445</v>
      </c>
      <c r="D168" s="2" t="s">
        <v>88</v>
      </c>
      <c r="E168" s="2" t="s">
        <v>79</v>
      </c>
      <c r="F168" s="11"/>
      <c r="G168" s="12"/>
      <c r="H168" s="13">
        <v>6000.0</v>
      </c>
      <c r="I168" s="2">
        <v>18.0</v>
      </c>
      <c r="K168" s="10">
        <f t="shared" si="7"/>
        <v>18</v>
      </c>
      <c r="L168" s="12">
        <f t="shared" si="2"/>
        <v>108000</v>
      </c>
      <c r="M168" s="12">
        <f t="shared" si="6"/>
        <v>0</v>
      </c>
      <c r="N168" s="12">
        <f t="shared" si="4"/>
        <v>0</v>
      </c>
      <c r="O168" s="12">
        <f t="shared" si="5"/>
        <v>0</v>
      </c>
      <c r="AI168" s="8" t="s">
        <v>446</v>
      </c>
    </row>
    <row r="169" ht="15.75" customHeight="1">
      <c r="A169" s="2">
        <v>5.245001007245E12</v>
      </c>
      <c r="B169" s="2" t="s">
        <v>447</v>
      </c>
      <c r="D169" s="2" t="s">
        <v>88</v>
      </c>
      <c r="E169" s="2" t="s">
        <v>79</v>
      </c>
      <c r="F169" s="11"/>
      <c r="G169" s="12"/>
      <c r="H169" s="13">
        <v>4000.0</v>
      </c>
      <c r="I169" s="2">
        <v>4.0</v>
      </c>
      <c r="K169" s="10">
        <f t="shared" si="7"/>
        <v>4</v>
      </c>
      <c r="L169" s="12">
        <f t="shared" si="2"/>
        <v>16000</v>
      </c>
      <c r="M169" s="12">
        <f t="shared" si="6"/>
        <v>0</v>
      </c>
      <c r="N169" s="12">
        <f t="shared" si="4"/>
        <v>0</v>
      </c>
      <c r="O169" s="12">
        <f t="shared" si="5"/>
        <v>0</v>
      </c>
      <c r="AI169" s="8" t="s">
        <v>448</v>
      </c>
    </row>
    <row r="170" ht="15.75" customHeight="1">
      <c r="A170" s="2">
        <v>2.11007245E8</v>
      </c>
      <c r="B170" s="2" t="s">
        <v>447</v>
      </c>
      <c r="D170" s="2" t="s">
        <v>135</v>
      </c>
      <c r="E170" s="2" t="s">
        <v>79</v>
      </c>
      <c r="F170" s="11"/>
      <c r="G170" s="12"/>
      <c r="H170" s="13">
        <v>2000.0</v>
      </c>
      <c r="I170" s="2">
        <v>7.0</v>
      </c>
      <c r="K170" s="10">
        <f t="shared" si="7"/>
        <v>7</v>
      </c>
      <c r="L170" s="12">
        <f t="shared" si="2"/>
        <v>14000</v>
      </c>
      <c r="M170" s="12">
        <f t="shared" si="6"/>
        <v>0</v>
      </c>
      <c r="N170" s="12">
        <f t="shared" si="4"/>
        <v>0</v>
      </c>
      <c r="O170" s="12">
        <f t="shared" si="5"/>
        <v>0</v>
      </c>
      <c r="AI170" s="8" t="s">
        <v>449</v>
      </c>
    </row>
    <row r="171" ht="15.75" customHeight="1">
      <c r="A171" s="2">
        <v>3.151001203088E14</v>
      </c>
      <c r="B171" s="2" t="s">
        <v>450</v>
      </c>
      <c r="D171" s="2" t="s">
        <v>88</v>
      </c>
      <c r="E171" s="2" t="s">
        <v>79</v>
      </c>
      <c r="F171" s="11"/>
      <c r="G171" s="12"/>
      <c r="H171" s="13">
        <v>1000.0</v>
      </c>
      <c r="I171" s="2">
        <v>13.0</v>
      </c>
      <c r="K171" s="10">
        <f t="shared" si="7"/>
        <v>13</v>
      </c>
      <c r="L171" s="12">
        <f t="shared" si="2"/>
        <v>13000</v>
      </c>
      <c r="M171" s="12">
        <f t="shared" si="6"/>
        <v>0</v>
      </c>
      <c r="N171" s="12">
        <f t="shared" si="4"/>
        <v>0</v>
      </c>
      <c r="O171" s="12">
        <f t="shared" si="5"/>
        <v>0</v>
      </c>
      <c r="AI171" s="8" t="s">
        <v>451</v>
      </c>
    </row>
    <row r="172" ht="15.75" customHeight="1">
      <c r="A172" s="2">
        <v>4.69001701046E13</v>
      </c>
      <c r="B172" s="2" t="s">
        <v>452</v>
      </c>
      <c r="D172" s="2" t="s">
        <v>54</v>
      </c>
      <c r="E172" s="2" t="s">
        <v>84</v>
      </c>
      <c r="F172" s="11"/>
      <c r="G172" s="12"/>
      <c r="H172" s="13">
        <v>40000.0</v>
      </c>
      <c r="I172" s="2">
        <v>4.0</v>
      </c>
      <c r="K172" s="10">
        <f t="shared" si="7"/>
        <v>4</v>
      </c>
      <c r="L172" s="12">
        <f t="shared" si="2"/>
        <v>160000</v>
      </c>
      <c r="M172" s="12">
        <f t="shared" si="6"/>
        <v>0</v>
      </c>
      <c r="N172" s="12">
        <f t="shared" si="4"/>
        <v>0</v>
      </c>
      <c r="O172" s="12">
        <f t="shared" si="5"/>
        <v>0</v>
      </c>
      <c r="AI172" s="8" t="s">
        <v>453</v>
      </c>
    </row>
    <row r="173" ht="15.75" customHeight="1">
      <c r="A173" s="2">
        <v>4.515017010501E13</v>
      </c>
      <c r="B173" s="2" t="s">
        <v>454</v>
      </c>
      <c r="D173" s="2" t="s">
        <v>54</v>
      </c>
      <c r="E173" s="2" t="s">
        <v>84</v>
      </c>
      <c r="F173" s="11"/>
      <c r="G173" s="12"/>
      <c r="H173" s="13">
        <v>17000.0</v>
      </c>
      <c r="I173" s="2">
        <v>4.0</v>
      </c>
      <c r="K173" s="10">
        <f t="shared" si="7"/>
        <v>4</v>
      </c>
      <c r="L173" s="12">
        <f t="shared" si="2"/>
        <v>68000</v>
      </c>
      <c r="M173" s="12">
        <f t="shared" si="6"/>
        <v>0</v>
      </c>
      <c r="N173" s="12">
        <f t="shared" si="4"/>
        <v>0</v>
      </c>
      <c r="O173" s="12">
        <f t="shared" si="5"/>
        <v>0</v>
      </c>
      <c r="AI173" s="8" t="s">
        <v>455</v>
      </c>
    </row>
    <row r="174" ht="15.75" customHeight="1">
      <c r="B174" s="2" t="s">
        <v>456</v>
      </c>
      <c r="D174" s="2" t="s">
        <v>54</v>
      </c>
      <c r="E174" s="2" t="s">
        <v>68</v>
      </c>
      <c r="F174" s="11"/>
      <c r="G174" s="12"/>
      <c r="H174" s="13">
        <v>500.0</v>
      </c>
      <c r="I174" s="2">
        <v>48.0</v>
      </c>
      <c r="K174" s="10">
        <f t="shared" si="7"/>
        <v>48</v>
      </c>
      <c r="L174" s="12">
        <f t="shared" si="2"/>
        <v>24000</v>
      </c>
      <c r="M174" s="12" t="str">
        <f t="shared" si="6"/>
        <v/>
      </c>
      <c r="N174" s="12" t="str">
        <f t="shared" si="4"/>
        <v/>
      </c>
      <c r="O174" s="12" t="str">
        <f t="shared" si="5"/>
        <v/>
      </c>
      <c r="AI174" s="8" t="s">
        <v>457</v>
      </c>
    </row>
    <row r="175" ht="15.75" customHeight="1">
      <c r="A175" s="2">
        <v>1.301702155E9</v>
      </c>
      <c r="B175" s="2" t="s">
        <v>458</v>
      </c>
      <c r="D175" s="2" t="s">
        <v>86</v>
      </c>
      <c r="E175" s="2" t="s">
        <v>84</v>
      </c>
      <c r="F175" s="11"/>
      <c r="G175" s="12"/>
      <c r="H175" s="13">
        <v>2000.0</v>
      </c>
      <c r="I175" s="2">
        <v>10.0</v>
      </c>
      <c r="K175" s="10">
        <f t="shared" si="7"/>
        <v>10</v>
      </c>
      <c r="L175" s="12">
        <f t="shared" si="2"/>
        <v>20000</v>
      </c>
      <c r="M175" s="12">
        <f t="shared" si="6"/>
        <v>0</v>
      </c>
      <c r="N175" s="12">
        <f t="shared" si="4"/>
        <v>0</v>
      </c>
      <c r="O175" s="12">
        <f t="shared" si="5"/>
        <v>0</v>
      </c>
      <c r="AI175" s="8" t="s">
        <v>459</v>
      </c>
    </row>
    <row r="176" ht="15.75" customHeight="1">
      <c r="A176" s="2">
        <v>7783702.0</v>
      </c>
      <c r="B176" s="2" t="s">
        <v>460</v>
      </c>
      <c r="D176" s="2" t="s">
        <v>344</v>
      </c>
      <c r="E176" s="2" t="s">
        <v>148</v>
      </c>
      <c r="F176" s="11"/>
      <c r="G176" s="12"/>
      <c r="H176" s="13">
        <v>2500.0</v>
      </c>
      <c r="I176" s="2">
        <v>4.0</v>
      </c>
      <c r="K176" s="10">
        <f t="shared" si="7"/>
        <v>4</v>
      </c>
      <c r="L176" s="12">
        <f t="shared" si="2"/>
        <v>10000</v>
      </c>
      <c r="M176" s="12">
        <f t="shared" si="6"/>
        <v>0</v>
      </c>
      <c r="N176" s="12">
        <f t="shared" si="4"/>
        <v>0</v>
      </c>
      <c r="O176" s="12">
        <f t="shared" si="5"/>
        <v>0</v>
      </c>
      <c r="AI176" s="8" t="s">
        <v>461</v>
      </c>
    </row>
    <row r="177" ht="15.75" customHeight="1">
      <c r="A177" s="2">
        <v>653772.0</v>
      </c>
      <c r="B177" s="2" t="s">
        <v>460</v>
      </c>
      <c r="D177" s="2" t="s">
        <v>344</v>
      </c>
      <c r="E177" s="2" t="s">
        <v>148</v>
      </c>
      <c r="F177" s="11"/>
      <c r="G177" s="12"/>
      <c r="H177" s="13">
        <v>2500.0</v>
      </c>
      <c r="I177" s="2">
        <v>4.0</v>
      </c>
      <c r="K177" s="10">
        <f t="shared" si="7"/>
        <v>4</v>
      </c>
      <c r="L177" s="12">
        <f t="shared" si="2"/>
        <v>10000</v>
      </c>
      <c r="M177" s="12">
        <f t="shared" si="6"/>
        <v>0</v>
      </c>
      <c r="N177" s="12">
        <f t="shared" si="4"/>
        <v>0</v>
      </c>
      <c r="O177" s="12">
        <f t="shared" si="5"/>
        <v>0</v>
      </c>
      <c r="AI177" s="8" t="s">
        <v>462</v>
      </c>
    </row>
    <row r="178" ht="15.75" customHeight="1">
      <c r="A178" s="2">
        <v>5713777.0</v>
      </c>
      <c r="B178" s="2" t="s">
        <v>463</v>
      </c>
      <c r="D178" s="2" t="s">
        <v>54</v>
      </c>
      <c r="E178" s="2" t="s">
        <v>148</v>
      </c>
      <c r="F178" s="11"/>
      <c r="G178" s="12"/>
      <c r="H178" s="13">
        <v>3000.0</v>
      </c>
      <c r="I178" s="2">
        <v>1.0</v>
      </c>
      <c r="K178" s="10">
        <f t="shared" si="7"/>
        <v>1</v>
      </c>
      <c r="L178" s="12">
        <f t="shared" si="2"/>
        <v>3000</v>
      </c>
      <c r="M178" s="12">
        <f t="shared" si="6"/>
        <v>0</v>
      </c>
      <c r="N178" s="12">
        <f t="shared" si="4"/>
        <v>0</v>
      </c>
      <c r="O178" s="12">
        <f t="shared" si="5"/>
        <v>0</v>
      </c>
      <c r="AI178" s="8" t="s">
        <v>464</v>
      </c>
    </row>
    <row r="179" ht="15.75" customHeight="1">
      <c r="A179" s="2" t="s">
        <v>465</v>
      </c>
      <c r="B179" s="2" t="s">
        <v>466</v>
      </c>
      <c r="D179" s="2" t="s">
        <v>88</v>
      </c>
      <c r="E179" s="2" t="s">
        <v>148</v>
      </c>
      <c r="F179" s="11"/>
      <c r="G179" s="12"/>
      <c r="H179" s="13">
        <v>3000.0</v>
      </c>
      <c r="I179" s="2">
        <v>1.0</v>
      </c>
      <c r="K179" s="10">
        <f t="shared" si="7"/>
        <v>1</v>
      </c>
      <c r="L179" s="12">
        <f t="shared" si="2"/>
        <v>3000</v>
      </c>
      <c r="M179" s="12">
        <f t="shared" si="6"/>
        <v>0</v>
      </c>
      <c r="N179" s="12">
        <f t="shared" si="4"/>
        <v>0</v>
      </c>
      <c r="O179" s="12">
        <f t="shared" si="5"/>
        <v>0</v>
      </c>
      <c r="AI179" s="8" t="s">
        <v>467</v>
      </c>
    </row>
    <row r="180" ht="15.75" customHeight="1">
      <c r="B180" s="2" t="s">
        <v>468</v>
      </c>
      <c r="E180" s="2" t="s">
        <v>79</v>
      </c>
      <c r="F180" s="11"/>
      <c r="G180" s="12"/>
      <c r="H180" s="13">
        <v>2000.0</v>
      </c>
      <c r="I180" s="2">
        <v>16.0</v>
      </c>
      <c r="J180" s="2">
        <v>1.0</v>
      </c>
      <c r="K180" s="10">
        <f t="shared" si="7"/>
        <v>15</v>
      </c>
      <c r="L180" s="12">
        <f t="shared" si="2"/>
        <v>30000</v>
      </c>
      <c r="M180" s="12" t="str">
        <f t="shared" si="6"/>
        <v/>
      </c>
      <c r="N180" s="12" t="str">
        <f t="shared" si="4"/>
        <v/>
      </c>
      <c r="O180" s="12" t="str">
        <f t="shared" si="5"/>
        <v/>
      </c>
      <c r="AI180" s="8" t="s">
        <v>469</v>
      </c>
    </row>
    <row r="181" ht="15.75" customHeight="1">
      <c r="A181" s="2"/>
      <c r="B181" s="2" t="s">
        <v>470</v>
      </c>
      <c r="D181" s="2" t="s">
        <v>88</v>
      </c>
      <c r="E181" s="2" t="s">
        <v>79</v>
      </c>
      <c r="F181" s="11"/>
      <c r="G181" s="12"/>
      <c r="H181" s="13">
        <v>5000.0</v>
      </c>
      <c r="I181" s="2">
        <v>9.0</v>
      </c>
      <c r="K181" s="10">
        <f t="shared" si="7"/>
        <v>9</v>
      </c>
      <c r="L181" s="12">
        <f t="shared" si="2"/>
        <v>45000</v>
      </c>
      <c r="M181" s="12" t="str">
        <f t="shared" si="6"/>
        <v/>
      </c>
      <c r="N181" s="12" t="str">
        <f t="shared" si="4"/>
        <v/>
      </c>
      <c r="O181" s="12" t="str">
        <f t="shared" si="5"/>
        <v/>
      </c>
      <c r="AI181" s="8" t="s">
        <v>471</v>
      </c>
    </row>
    <row r="182" ht="15.75" customHeight="1">
      <c r="B182" s="2" t="s">
        <v>472</v>
      </c>
      <c r="D182" s="2" t="s">
        <v>135</v>
      </c>
      <c r="E182" s="2" t="s">
        <v>79</v>
      </c>
      <c r="F182" s="11"/>
      <c r="G182" s="12"/>
      <c r="H182" s="13">
        <v>8000.0</v>
      </c>
      <c r="I182" s="2">
        <v>5.0</v>
      </c>
      <c r="K182" s="10">
        <f t="shared" si="7"/>
        <v>5</v>
      </c>
      <c r="L182" s="12">
        <f t="shared" si="2"/>
        <v>40000</v>
      </c>
      <c r="M182" s="12" t="str">
        <f t="shared" si="6"/>
        <v/>
      </c>
      <c r="N182" s="12" t="str">
        <f t="shared" si="4"/>
        <v/>
      </c>
      <c r="O182" s="12" t="str">
        <f t="shared" si="5"/>
        <v/>
      </c>
      <c r="AI182" s="8" t="s">
        <v>473</v>
      </c>
    </row>
    <row r="183" ht="15.75" customHeight="1">
      <c r="B183" s="2" t="s">
        <v>474</v>
      </c>
      <c r="D183" s="2" t="s">
        <v>78</v>
      </c>
      <c r="E183" s="2" t="s">
        <v>68</v>
      </c>
      <c r="F183" s="11"/>
      <c r="G183" s="12"/>
      <c r="H183" s="13">
        <v>1500.0</v>
      </c>
      <c r="I183" s="2">
        <v>5.0</v>
      </c>
      <c r="K183" s="10">
        <f t="shared" si="7"/>
        <v>5</v>
      </c>
      <c r="L183" s="12">
        <f t="shared" si="2"/>
        <v>7500</v>
      </c>
      <c r="M183" s="12" t="str">
        <f t="shared" si="6"/>
        <v/>
      </c>
      <c r="N183" s="12" t="str">
        <f t="shared" si="4"/>
        <v/>
      </c>
      <c r="O183" s="12" t="str">
        <f t="shared" si="5"/>
        <v/>
      </c>
      <c r="AI183" s="8" t="s">
        <v>475</v>
      </c>
    </row>
    <row r="184" ht="15.75" customHeight="1">
      <c r="B184" s="2" t="s">
        <v>476</v>
      </c>
      <c r="D184" s="2" t="s">
        <v>54</v>
      </c>
      <c r="E184" s="2" t="s">
        <v>84</v>
      </c>
      <c r="F184" s="11"/>
      <c r="G184" s="12"/>
      <c r="H184" s="13">
        <v>6000.0</v>
      </c>
      <c r="I184" s="2">
        <v>1.0</v>
      </c>
      <c r="K184" s="10">
        <f t="shared" si="7"/>
        <v>1</v>
      </c>
      <c r="L184" s="12">
        <f t="shared" si="2"/>
        <v>6000</v>
      </c>
      <c r="M184" s="12" t="str">
        <f t="shared" si="6"/>
        <v/>
      </c>
      <c r="N184" s="12" t="str">
        <f t="shared" si="4"/>
        <v/>
      </c>
      <c r="O184" s="12" t="str">
        <f t="shared" si="5"/>
        <v/>
      </c>
      <c r="AI184" s="8" t="s">
        <v>477</v>
      </c>
    </row>
    <row r="185" ht="15.75" customHeight="1">
      <c r="B185" s="2" t="s">
        <v>478</v>
      </c>
      <c r="D185" s="2" t="s">
        <v>54</v>
      </c>
      <c r="E185" s="2" t="s">
        <v>68</v>
      </c>
      <c r="F185" s="11"/>
      <c r="G185" s="12"/>
      <c r="H185" s="13">
        <v>1500.0</v>
      </c>
      <c r="I185" s="2">
        <v>12.0</v>
      </c>
      <c r="K185" s="10">
        <f t="shared" si="7"/>
        <v>12</v>
      </c>
      <c r="L185" s="12">
        <f t="shared" si="2"/>
        <v>18000</v>
      </c>
      <c r="M185" s="12" t="str">
        <f t="shared" si="6"/>
        <v/>
      </c>
      <c r="N185" s="12" t="str">
        <f t="shared" si="4"/>
        <v/>
      </c>
      <c r="O185" s="12" t="str">
        <f t="shared" si="5"/>
        <v/>
      </c>
      <c r="AI185" s="8" t="s">
        <v>479</v>
      </c>
    </row>
    <row r="186" ht="15.75" customHeight="1">
      <c r="B186" s="2" t="s">
        <v>480</v>
      </c>
      <c r="D186" s="2" t="s">
        <v>88</v>
      </c>
      <c r="E186" s="2" t="s">
        <v>79</v>
      </c>
      <c r="F186" s="11"/>
      <c r="G186" s="12"/>
      <c r="H186" s="13">
        <v>1500.0</v>
      </c>
      <c r="I186" s="2">
        <v>4.0</v>
      </c>
      <c r="K186" s="10">
        <f t="shared" si="7"/>
        <v>4</v>
      </c>
      <c r="L186" s="12">
        <f t="shared" si="2"/>
        <v>6000</v>
      </c>
      <c r="M186" s="12" t="str">
        <f t="shared" si="6"/>
        <v/>
      </c>
      <c r="N186" s="12" t="str">
        <f t="shared" si="4"/>
        <v/>
      </c>
      <c r="O186" s="12" t="str">
        <f t="shared" si="5"/>
        <v/>
      </c>
      <c r="AI186" s="8" t="s">
        <v>481</v>
      </c>
    </row>
    <row r="187" ht="15.75" customHeight="1">
      <c r="B187" s="2" t="s">
        <v>482</v>
      </c>
      <c r="D187" s="2" t="s">
        <v>54</v>
      </c>
      <c r="E187" s="2" t="s">
        <v>183</v>
      </c>
      <c r="F187" s="11"/>
      <c r="G187" s="12"/>
      <c r="H187" s="13">
        <v>2000.0</v>
      </c>
      <c r="I187" s="2">
        <v>9.0</v>
      </c>
      <c r="K187" s="10">
        <f t="shared" si="7"/>
        <v>9</v>
      </c>
      <c r="L187" s="12">
        <f t="shared" si="2"/>
        <v>18000</v>
      </c>
      <c r="M187" s="12" t="str">
        <f t="shared" si="6"/>
        <v/>
      </c>
      <c r="N187" s="12" t="str">
        <f t="shared" si="4"/>
        <v/>
      </c>
      <c r="O187" s="12" t="str">
        <f t="shared" si="5"/>
        <v/>
      </c>
      <c r="AI187" s="8" t="s">
        <v>483</v>
      </c>
    </row>
    <row r="188" ht="15.75" customHeight="1">
      <c r="B188" s="2" t="s">
        <v>484</v>
      </c>
      <c r="D188" s="2" t="s">
        <v>86</v>
      </c>
      <c r="E188" s="2" t="s">
        <v>79</v>
      </c>
      <c r="F188" s="11"/>
      <c r="G188" s="12"/>
      <c r="H188" s="13">
        <v>2000.0</v>
      </c>
      <c r="I188" s="2">
        <v>2.0</v>
      </c>
      <c r="K188" s="10">
        <f t="shared" si="7"/>
        <v>2</v>
      </c>
      <c r="L188" s="12">
        <f t="shared" si="2"/>
        <v>4000</v>
      </c>
      <c r="M188" s="12" t="str">
        <f t="shared" si="6"/>
        <v/>
      </c>
      <c r="N188" s="12" t="str">
        <f t="shared" si="4"/>
        <v/>
      </c>
      <c r="O188" s="12" t="str">
        <f t="shared" si="5"/>
        <v/>
      </c>
      <c r="AI188" s="8" t="s">
        <v>485</v>
      </c>
    </row>
    <row r="189" ht="15.75" customHeight="1">
      <c r="B189" s="2" t="s">
        <v>486</v>
      </c>
      <c r="D189" s="2" t="s">
        <v>54</v>
      </c>
      <c r="E189" s="2" t="s">
        <v>84</v>
      </c>
      <c r="F189" s="11"/>
      <c r="G189" s="12"/>
      <c r="H189" s="13">
        <v>5000.0</v>
      </c>
      <c r="I189" s="2">
        <v>16.0</v>
      </c>
      <c r="K189" s="10">
        <f t="shared" si="7"/>
        <v>16</v>
      </c>
      <c r="L189" s="12">
        <f t="shared" si="2"/>
        <v>80000</v>
      </c>
      <c r="M189" s="12" t="str">
        <f t="shared" si="6"/>
        <v/>
      </c>
      <c r="N189" s="12" t="str">
        <f t="shared" si="4"/>
        <v/>
      </c>
      <c r="O189" s="12" t="str">
        <f t="shared" si="5"/>
        <v/>
      </c>
      <c r="AI189" s="8" t="s">
        <v>487</v>
      </c>
    </row>
    <row r="190" ht="15.75" customHeight="1">
      <c r="B190" s="2" t="s">
        <v>488</v>
      </c>
      <c r="D190" s="2" t="s">
        <v>54</v>
      </c>
      <c r="E190" s="2" t="s">
        <v>68</v>
      </c>
      <c r="F190" s="11"/>
      <c r="G190" s="12"/>
      <c r="H190" s="13">
        <v>3000.0</v>
      </c>
      <c r="I190" s="2">
        <v>9.0</v>
      </c>
      <c r="K190" s="10">
        <f t="shared" si="7"/>
        <v>9</v>
      </c>
      <c r="L190" s="12">
        <f t="shared" si="2"/>
        <v>27000</v>
      </c>
      <c r="M190" s="12" t="str">
        <f t="shared" si="6"/>
        <v/>
      </c>
      <c r="N190" s="12" t="str">
        <f t="shared" si="4"/>
        <v/>
      </c>
      <c r="O190" s="12" t="str">
        <f t="shared" si="5"/>
        <v/>
      </c>
      <c r="AI190" s="8" t="s">
        <v>489</v>
      </c>
    </row>
    <row r="191" ht="15.75" customHeight="1">
      <c r="A191" s="2">
        <v>3.1632304019E10</v>
      </c>
      <c r="B191" s="2" t="s">
        <v>490</v>
      </c>
      <c r="D191" s="2" t="s">
        <v>175</v>
      </c>
      <c r="E191" s="2" t="s">
        <v>84</v>
      </c>
      <c r="F191" s="11"/>
      <c r="G191" s="12"/>
      <c r="H191" s="13">
        <v>15000.0</v>
      </c>
      <c r="I191" s="2">
        <v>5.0</v>
      </c>
      <c r="K191" s="10">
        <f t="shared" si="7"/>
        <v>5</v>
      </c>
      <c r="L191" s="12">
        <f t="shared" si="2"/>
        <v>75000</v>
      </c>
      <c r="M191" s="12">
        <f t="shared" si="6"/>
        <v>0</v>
      </c>
      <c r="N191" s="12">
        <f t="shared" si="4"/>
        <v>0</v>
      </c>
      <c r="O191" s="12">
        <f t="shared" si="5"/>
        <v>0</v>
      </c>
      <c r="AI191" s="8" t="s">
        <v>491</v>
      </c>
    </row>
    <row r="192" ht="15.75" customHeight="1">
      <c r="B192" s="2" t="s">
        <v>492</v>
      </c>
      <c r="D192" s="2" t="s">
        <v>93</v>
      </c>
      <c r="E192" s="2" t="s">
        <v>84</v>
      </c>
      <c r="F192" s="11"/>
      <c r="G192" s="12"/>
      <c r="H192" s="13">
        <v>15000.0</v>
      </c>
      <c r="I192" s="2">
        <v>2.0</v>
      </c>
      <c r="K192" s="10">
        <f t="shared" si="7"/>
        <v>2</v>
      </c>
      <c r="L192" s="12">
        <f t="shared" si="2"/>
        <v>30000</v>
      </c>
      <c r="M192" s="12" t="str">
        <f t="shared" si="6"/>
        <v/>
      </c>
      <c r="N192" s="12" t="str">
        <f t="shared" si="4"/>
        <v/>
      </c>
      <c r="O192" s="12" t="str">
        <f t="shared" si="5"/>
        <v/>
      </c>
      <c r="AI192" s="8" t="s">
        <v>493</v>
      </c>
    </row>
    <row r="193" ht="15.75" customHeight="1">
      <c r="B193" s="2" t="s">
        <v>494</v>
      </c>
      <c r="D193" s="2" t="s">
        <v>54</v>
      </c>
      <c r="E193" s="2" t="s">
        <v>84</v>
      </c>
      <c r="F193" s="11"/>
      <c r="G193" s="12"/>
      <c r="H193" s="13">
        <v>250000.0</v>
      </c>
      <c r="I193" s="2">
        <v>1.0</v>
      </c>
      <c r="K193" s="10">
        <f t="shared" si="7"/>
        <v>1</v>
      </c>
      <c r="L193" s="12">
        <f t="shared" si="2"/>
        <v>250000</v>
      </c>
      <c r="M193" s="12" t="str">
        <f t="shared" si="6"/>
        <v/>
      </c>
      <c r="N193" s="12" t="str">
        <f t="shared" si="4"/>
        <v/>
      </c>
      <c r="O193" s="12" t="str">
        <f t="shared" si="5"/>
        <v/>
      </c>
      <c r="AI193" s="8" t="s">
        <v>495</v>
      </c>
    </row>
    <row r="194" ht="15.75" customHeight="1">
      <c r="B194" s="2" t="s">
        <v>496</v>
      </c>
      <c r="D194" s="2" t="s">
        <v>88</v>
      </c>
      <c r="E194" s="2" t="s">
        <v>148</v>
      </c>
      <c r="F194" s="11"/>
      <c r="G194" s="12"/>
      <c r="H194" s="13">
        <v>3000.0</v>
      </c>
      <c r="I194" s="2">
        <v>1.0</v>
      </c>
      <c r="K194" s="10">
        <f t="shared" si="7"/>
        <v>1</v>
      </c>
      <c r="L194" s="12">
        <f t="shared" si="2"/>
        <v>3000</v>
      </c>
      <c r="M194" s="12" t="str">
        <f t="shared" si="6"/>
        <v/>
      </c>
      <c r="N194" s="12" t="str">
        <f t="shared" si="4"/>
        <v/>
      </c>
      <c r="O194" s="12" t="str">
        <f t="shared" si="5"/>
        <v/>
      </c>
      <c r="AI194" s="8" t="s">
        <v>497</v>
      </c>
    </row>
    <row r="195" ht="15.75" customHeight="1">
      <c r="B195" s="2" t="s">
        <v>498</v>
      </c>
      <c r="D195" s="2" t="s">
        <v>54</v>
      </c>
      <c r="E195" s="2" t="s">
        <v>84</v>
      </c>
      <c r="F195" s="11"/>
      <c r="G195" s="12"/>
      <c r="H195" s="13">
        <v>7000.0</v>
      </c>
      <c r="I195" s="2">
        <v>24.0</v>
      </c>
      <c r="K195" s="10">
        <f t="shared" si="7"/>
        <v>24</v>
      </c>
      <c r="L195" s="12">
        <f t="shared" si="2"/>
        <v>168000</v>
      </c>
      <c r="M195" s="12" t="str">
        <f t="shared" si="6"/>
        <v/>
      </c>
      <c r="N195" s="12" t="str">
        <f t="shared" si="4"/>
        <v/>
      </c>
      <c r="O195" s="12" t="str">
        <f t="shared" si="5"/>
        <v/>
      </c>
      <c r="AI195" s="8" t="s">
        <v>499</v>
      </c>
    </row>
    <row r="196" ht="15.75" customHeight="1">
      <c r="B196" s="2" t="s">
        <v>498</v>
      </c>
      <c r="D196" s="2" t="s">
        <v>78</v>
      </c>
      <c r="E196" s="2" t="s">
        <v>84</v>
      </c>
      <c r="F196" s="11"/>
      <c r="G196" s="12"/>
      <c r="H196" s="13">
        <v>7000.0</v>
      </c>
      <c r="I196" s="2">
        <v>1.0</v>
      </c>
      <c r="K196" s="10">
        <f t="shared" si="7"/>
        <v>1</v>
      </c>
      <c r="L196" s="12">
        <f t="shared" si="2"/>
        <v>7000</v>
      </c>
      <c r="M196" s="12" t="str">
        <f t="shared" si="6"/>
        <v/>
      </c>
      <c r="N196" s="12" t="str">
        <f t="shared" si="4"/>
        <v/>
      </c>
      <c r="O196" s="12" t="str">
        <f t="shared" si="5"/>
        <v/>
      </c>
      <c r="AI196" s="8" t="s">
        <v>500</v>
      </c>
    </row>
    <row r="197" ht="15.75" customHeight="1">
      <c r="B197" s="2" t="s">
        <v>501</v>
      </c>
      <c r="D197" s="2" t="s">
        <v>54</v>
      </c>
      <c r="E197" s="2" t="s">
        <v>201</v>
      </c>
      <c r="F197" s="11"/>
      <c r="G197" s="12"/>
      <c r="H197" s="13">
        <v>5000.0</v>
      </c>
      <c r="I197" s="2">
        <v>3.0</v>
      </c>
      <c r="K197" s="10">
        <f t="shared" si="7"/>
        <v>3</v>
      </c>
      <c r="L197" s="12">
        <f t="shared" si="2"/>
        <v>15000</v>
      </c>
      <c r="M197" s="12" t="str">
        <f t="shared" si="6"/>
        <v/>
      </c>
      <c r="N197" s="12" t="str">
        <f t="shared" si="4"/>
        <v/>
      </c>
      <c r="O197" s="12" t="str">
        <f t="shared" si="5"/>
        <v/>
      </c>
      <c r="AI197" s="8" t="s">
        <v>502</v>
      </c>
    </row>
    <row r="198" ht="15.75" customHeight="1">
      <c r="A198" s="2">
        <v>4.51632313E9</v>
      </c>
      <c r="B198" s="2" t="s">
        <v>503</v>
      </c>
      <c r="D198" s="2" t="s">
        <v>175</v>
      </c>
      <c r="E198" s="2" t="s">
        <v>201</v>
      </c>
      <c r="F198" s="11"/>
      <c r="G198" s="12"/>
      <c r="H198" s="13">
        <v>15000.0</v>
      </c>
      <c r="I198" s="2">
        <v>1.0</v>
      </c>
      <c r="K198" s="10">
        <f t="shared" si="7"/>
        <v>1</v>
      </c>
      <c r="L198" s="12">
        <f t="shared" si="2"/>
        <v>15000</v>
      </c>
      <c r="M198" s="12">
        <f t="shared" si="6"/>
        <v>0</v>
      </c>
      <c r="N198" s="12">
        <f t="shared" si="4"/>
        <v>0</v>
      </c>
      <c r="O198" s="12">
        <f t="shared" si="5"/>
        <v>0</v>
      </c>
      <c r="AI198" s="8" t="s">
        <v>504</v>
      </c>
    </row>
    <row r="199" ht="15.75" customHeight="1">
      <c r="A199" s="2">
        <v>4.510017030283E13</v>
      </c>
      <c r="B199" s="2" t="s">
        <v>505</v>
      </c>
      <c r="D199" s="2" t="s">
        <v>54</v>
      </c>
      <c r="E199" s="2" t="s">
        <v>84</v>
      </c>
      <c r="F199" s="11"/>
      <c r="G199" s="12"/>
      <c r="H199" s="13">
        <v>8000.0</v>
      </c>
      <c r="I199" s="2">
        <v>1.0</v>
      </c>
      <c r="K199" s="10">
        <f t="shared" si="7"/>
        <v>1</v>
      </c>
      <c r="L199" s="12">
        <f t="shared" si="2"/>
        <v>8000</v>
      </c>
      <c r="M199" s="12">
        <f t="shared" si="6"/>
        <v>0</v>
      </c>
      <c r="N199" s="12">
        <f t="shared" si="4"/>
        <v>0</v>
      </c>
      <c r="O199" s="12">
        <f t="shared" si="5"/>
        <v>0</v>
      </c>
      <c r="AI199" s="8" t="s">
        <v>506</v>
      </c>
    </row>
    <row r="200" ht="15.75" customHeight="1">
      <c r="B200" s="2" t="s">
        <v>507</v>
      </c>
      <c r="D200" s="2" t="s">
        <v>54</v>
      </c>
      <c r="E200" s="2" t="s">
        <v>84</v>
      </c>
      <c r="F200" s="11"/>
      <c r="G200" s="12"/>
      <c r="H200" s="13">
        <v>1000.0</v>
      </c>
      <c r="I200" s="2">
        <v>13.0</v>
      </c>
      <c r="K200" s="10">
        <f t="shared" si="7"/>
        <v>13</v>
      </c>
      <c r="L200" s="12">
        <f t="shared" si="2"/>
        <v>13000</v>
      </c>
      <c r="M200" s="12" t="str">
        <f t="shared" si="6"/>
        <v/>
      </c>
      <c r="N200" s="12" t="str">
        <f t="shared" si="4"/>
        <v/>
      </c>
      <c r="O200" s="12" t="str">
        <f t="shared" si="5"/>
        <v/>
      </c>
      <c r="AI200" s="8" t="s">
        <v>508</v>
      </c>
    </row>
    <row r="201" ht="15.75" customHeight="1">
      <c r="A201" s="2">
        <v>2.4501601094E10</v>
      </c>
      <c r="B201" s="2" t="s">
        <v>509</v>
      </c>
      <c r="D201" s="2" t="s">
        <v>135</v>
      </c>
      <c r="E201" s="2" t="s">
        <v>84</v>
      </c>
      <c r="F201" s="11"/>
      <c r="G201" s="12"/>
      <c r="H201" s="13">
        <v>6000.0</v>
      </c>
      <c r="I201" s="2">
        <v>11.0</v>
      </c>
      <c r="K201" s="10">
        <f t="shared" si="7"/>
        <v>11</v>
      </c>
      <c r="L201" s="12">
        <f t="shared" si="2"/>
        <v>66000</v>
      </c>
      <c r="M201" s="12">
        <f t="shared" si="6"/>
        <v>0</v>
      </c>
      <c r="N201" s="12">
        <f t="shared" si="4"/>
        <v>0</v>
      </c>
      <c r="O201" s="12">
        <f t="shared" si="5"/>
        <v>0</v>
      </c>
      <c r="AI201" s="8" t="s">
        <v>510</v>
      </c>
    </row>
    <row r="202" ht="15.75" customHeight="1">
      <c r="A202" s="2" t="s">
        <v>511</v>
      </c>
      <c r="B202" s="2" t="s">
        <v>512</v>
      </c>
      <c r="D202" s="2" t="s">
        <v>54</v>
      </c>
      <c r="E202" s="2" t="s">
        <v>68</v>
      </c>
      <c r="F202" s="11"/>
      <c r="G202" s="12"/>
      <c r="H202" s="13">
        <v>5000.0</v>
      </c>
      <c r="I202" s="2">
        <v>1.0</v>
      </c>
      <c r="K202" s="10">
        <f t="shared" si="7"/>
        <v>1</v>
      </c>
      <c r="L202" s="12">
        <f t="shared" si="2"/>
        <v>5000</v>
      </c>
      <c r="M202" s="12">
        <f t="shared" si="6"/>
        <v>0</v>
      </c>
      <c r="N202" s="12">
        <f t="shared" si="4"/>
        <v>0</v>
      </c>
      <c r="O202" s="12">
        <f t="shared" si="5"/>
        <v>0</v>
      </c>
      <c r="AI202" s="8" t="s">
        <v>513</v>
      </c>
    </row>
    <row r="203" ht="15.75" customHeight="1">
      <c r="A203" s="2">
        <v>4.5150170216E11</v>
      </c>
      <c r="B203" s="2" t="s">
        <v>514</v>
      </c>
      <c r="D203" s="2" t="s">
        <v>54</v>
      </c>
      <c r="E203" s="2" t="s">
        <v>84</v>
      </c>
      <c r="F203" s="11"/>
      <c r="G203" s="12"/>
      <c r="H203" s="13">
        <v>4000.0</v>
      </c>
      <c r="I203" s="2">
        <v>5.0</v>
      </c>
      <c r="K203" s="10">
        <f t="shared" si="7"/>
        <v>5</v>
      </c>
      <c r="L203" s="12">
        <f t="shared" si="2"/>
        <v>20000</v>
      </c>
      <c r="M203" s="12">
        <f t="shared" si="6"/>
        <v>0</v>
      </c>
      <c r="N203" s="12">
        <f t="shared" si="4"/>
        <v>0</v>
      </c>
      <c r="O203" s="12">
        <f t="shared" si="5"/>
        <v>0</v>
      </c>
      <c r="AI203" s="8" t="s">
        <v>515</v>
      </c>
    </row>
    <row r="204" ht="15.75" customHeight="1">
      <c r="A204" s="2" t="s">
        <v>516</v>
      </c>
      <c r="B204" s="2" t="s">
        <v>517</v>
      </c>
      <c r="D204" s="2" t="s">
        <v>78</v>
      </c>
      <c r="E204" s="2" t="s">
        <v>84</v>
      </c>
      <c r="F204" s="11"/>
      <c r="G204" s="12"/>
      <c r="H204" s="13">
        <v>1000.0</v>
      </c>
      <c r="I204" s="2">
        <v>30.0</v>
      </c>
      <c r="K204" s="10">
        <f t="shared" si="7"/>
        <v>30</v>
      </c>
      <c r="L204" s="12">
        <f t="shared" si="2"/>
        <v>30000</v>
      </c>
      <c r="M204" s="12">
        <f t="shared" si="6"/>
        <v>0</v>
      </c>
      <c r="N204" s="12">
        <f t="shared" si="4"/>
        <v>0</v>
      </c>
      <c r="O204" s="12">
        <f t="shared" si="5"/>
        <v>0</v>
      </c>
      <c r="AI204" s="8" t="s">
        <v>518</v>
      </c>
    </row>
    <row r="205" ht="15.75" customHeight="1">
      <c r="A205" s="2" t="s">
        <v>519</v>
      </c>
      <c r="B205" s="2" t="s">
        <v>520</v>
      </c>
      <c r="D205" s="2" t="s">
        <v>54</v>
      </c>
      <c r="E205" s="2" t="s">
        <v>84</v>
      </c>
      <c r="F205" s="11"/>
      <c r="G205" s="12"/>
      <c r="H205" s="13">
        <v>2000.0</v>
      </c>
      <c r="I205" s="2">
        <v>10.0</v>
      </c>
      <c r="K205" s="10">
        <f t="shared" si="7"/>
        <v>10</v>
      </c>
      <c r="L205" s="12">
        <f t="shared" si="2"/>
        <v>20000</v>
      </c>
      <c r="M205" s="12">
        <f t="shared" si="6"/>
        <v>0</v>
      </c>
      <c r="N205" s="12">
        <f t="shared" si="4"/>
        <v>0</v>
      </c>
      <c r="O205" s="12">
        <f t="shared" si="5"/>
        <v>0</v>
      </c>
      <c r="AI205" s="8" t="s">
        <v>521</v>
      </c>
    </row>
    <row r="206" ht="15.75" customHeight="1">
      <c r="A206" s="2" t="s">
        <v>522</v>
      </c>
      <c r="B206" s="2" t="s">
        <v>523</v>
      </c>
      <c r="D206" s="2" t="s">
        <v>81</v>
      </c>
      <c r="E206" s="2" t="s">
        <v>84</v>
      </c>
      <c r="F206" s="11"/>
      <c r="G206" s="12"/>
      <c r="H206" s="13">
        <v>2000.0</v>
      </c>
      <c r="I206" s="2">
        <v>1.0</v>
      </c>
      <c r="K206" s="10">
        <f t="shared" si="7"/>
        <v>1</v>
      </c>
      <c r="L206" s="12">
        <f t="shared" si="2"/>
        <v>2000</v>
      </c>
      <c r="M206" s="12">
        <f t="shared" si="6"/>
        <v>0</v>
      </c>
      <c r="N206" s="12">
        <f t="shared" si="4"/>
        <v>0</v>
      </c>
      <c r="O206" s="12">
        <f t="shared" si="5"/>
        <v>0</v>
      </c>
      <c r="AI206" s="8" t="s">
        <v>524</v>
      </c>
    </row>
    <row r="207" ht="15.75" customHeight="1">
      <c r="B207" s="2" t="s">
        <v>525</v>
      </c>
      <c r="D207" s="2" t="s">
        <v>78</v>
      </c>
      <c r="E207" s="2" t="s">
        <v>79</v>
      </c>
      <c r="F207" s="11"/>
      <c r="G207" s="12"/>
      <c r="H207" s="13">
        <v>1500.0</v>
      </c>
      <c r="I207" s="2">
        <v>6.0</v>
      </c>
      <c r="K207" s="10">
        <f t="shared" si="7"/>
        <v>6</v>
      </c>
      <c r="L207" s="12">
        <f t="shared" si="2"/>
        <v>9000</v>
      </c>
      <c r="M207" s="12" t="str">
        <f t="shared" si="6"/>
        <v/>
      </c>
      <c r="N207" s="12" t="str">
        <f t="shared" si="4"/>
        <v/>
      </c>
      <c r="O207" s="12" t="str">
        <f t="shared" si="5"/>
        <v/>
      </c>
      <c r="AI207" s="8" t="s">
        <v>526</v>
      </c>
    </row>
    <row r="208" ht="15.75" customHeight="1">
      <c r="A208" s="2" t="s">
        <v>527</v>
      </c>
      <c r="B208" s="2" t="s">
        <v>525</v>
      </c>
      <c r="D208" s="2" t="s">
        <v>135</v>
      </c>
      <c r="E208" s="2" t="s">
        <v>79</v>
      </c>
      <c r="F208" s="11"/>
      <c r="G208" s="12"/>
      <c r="H208" s="13">
        <v>4000.0</v>
      </c>
      <c r="I208" s="2">
        <v>5.0</v>
      </c>
      <c r="K208" s="10">
        <f t="shared" si="7"/>
        <v>5</v>
      </c>
      <c r="L208" s="12">
        <f t="shared" si="2"/>
        <v>20000</v>
      </c>
      <c r="M208" s="12">
        <f t="shared" si="6"/>
        <v>0</v>
      </c>
      <c r="N208" s="12">
        <f t="shared" si="4"/>
        <v>0</v>
      </c>
      <c r="O208" s="12">
        <f t="shared" si="5"/>
        <v>0</v>
      </c>
      <c r="AI208" s="8" t="s">
        <v>528</v>
      </c>
    </row>
    <row r="209" ht="15.75" customHeight="1">
      <c r="A209" s="2" t="s">
        <v>529</v>
      </c>
      <c r="B209" s="2" t="s">
        <v>530</v>
      </c>
      <c r="D209" s="2" t="s">
        <v>263</v>
      </c>
      <c r="E209" s="2" t="s">
        <v>79</v>
      </c>
      <c r="F209" s="11"/>
      <c r="G209" s="12"/>
      <c r="H209" s="13">
        <v>2000.0</v>
      </c>
      <c r="I209" s="2">
        <v>10.0</v>
      </c>
      <c r="K209" s="10">
        <f t="shared" si="7"/>
        <v>10</v>
      </c>
      <c r="L209" s="12">
        <f t="shared" si="2"/>
        <v>20000</v>
      </c>
      <c r="M209" s="12">
        <f t="shared" si="6"/>
        <v>0</v>
      </c>
      <c r="N209" s="12">
        <f t="shared" si="4"/>
        <v>0</v>
      </c>
      <c r="O209" s="12">
        <f t="shared" si="5"/>
        <v>0</v>
      </c>
      <c r="AI209" s="8" t="s">
        <v>531</v>
      </c>
    </row>
    <row r="210" ht="15.75" customHeight="1">
      <c r="A210" s="2" t="s">
        <v>532</v>
      </c>
      <c r="B210" s="2" t="s">
        <v>530</v>
      </c>
      <c r="D210" s="2" t="s">
        <v>263</v>
      </c>
      <c r="E210" s="2" t="s">
        <v>79</v>
      </c>
      <c r="F210" s="11"/>
      <c r="G210" s="12"/>
      <c r="H210" s="13">
        <v>4000.0</v>
      </c>
      <c r="I210" s="2">
        <v>40.0</v>
      </c>
      <c r="K210" s="10">
        <f t="shared" si="7"/>
        <v>40</v>
      </c>
      <c r="L210" s="12">
        <f t="shared" si="2"/>
        <v>160000</v>
      </c>
      <c r="M210" s="12">
        <f t="shared" si="6"/>
        <v>0</v>
      </c>
      <c r="N210" s="12">
        <f t="shared" si="4"/>
        <v>0</v>
      </c>
      <c r="O210" s="12">
        <f t="shared" si="5"/>
        <v>0</v>
      </c>
      <c r="AI210" s="8" t="s">
        <v>533</v>
      </c>
    </row>
    <row r="211" ht="15.75" customHeight="1">
      <c r="A211" s="2" t="s">
        <v>534</v>
      </c>
      <c r="B211" s="2" t="s">
        <v>535</v>
      </c>
      <c r="D211" s="2" t="s">
        <v>81</v>
      </c>
      <c r="E211" s="2" t="s">
        <v>79</v>
      </c>
      <c r="F211" s="11"/>
      <c r="G211" s="12"/>
      <c r="H211" s="13">
        <v>2000.0</v>
      </c>
      <c r="I211" s="2">
        <v>11.0</v>
      </c>
      <c r="K211" s="10">
        <f t="shared" si="7"/>
        <v>11</v>
      </c>
      <c r="L211" s="12">
        <f t="shared" si="2"/>
        <v>22000</v>
      </c>
      <c r="M211" s="12">
        <f t="shared" si="6"/>
        <v>0</v>
      </c>
      <c r="N211" s="12">
        <f t="shared" si="4"/>
        <v>0</v>
      </c>
      <c r="O211" s="12">
        <f t="shared" si="5"/>
        <v>0</v>
      </c>
      <c r="AI211" s="8" t="s">
        <v>536</v>
      </c>
    </row>
    <row r="212" ht="15.75" customHeight="1">
      <c r="B212" s="2" t="s">
        <v>537</v>
      </c>
      <c r="D212" s="2" t="s">
        <v>54</v>
      </c>
      <c r="E212" s="2" t="s">
        <v>84</v>
      </c>
      <c r="F212" s="11"/>
      <c r="G212" s="12"/>
      <c r="H212" s="13">
        <v>1500.0</v>
      </c>
      <c r="I212" s="2">
        <v>11.0</v>
      </c>
      <c r="K212" s="10">
        <f t="shared" si="7"/>
        <v>11</v>
      </c>
      <c r="L212" s="12">
        <f t="shared" si="2"/>
        <v>16500</v>
      </c>
      <c r="M212" s="12" t="str">
        <f t="shared" si="6"/>
        <v/>
      </c>
      <c r="N212" s="12" t="str">
        <f t="shared" si="4"/>
        <v/>
      </c>
      <c r="O212" s="12" t="str">
        <f t="shared" si="5"/>
        <v/>
      </c>
      <c r="AI212" s="8" t="s">
        <v>538</v>
      </c>
    </row>
    <row r="213" ht="15.75" customHeight="1">
      <c r="A213" s="2" t="s">
        <v>539</v>
      </c>
      <c r="B213" s="2" t="s">
        <v>540</v>
      </c>
      <c r="D213" s="2" t="s">
        <v>541</v>
      </c>
      <c r="E213" s="2" t="s">
        <v>79</v>
      </c>
      <c r="F213" s="11"/>
      <c r="G213" s="12"/>
      <c r="H213" s="13">
        <v>2000.0</v>
      </c>
      <c r="I213" s="2">
        <v>1.0</v>
      </c>
      <c r="K213" s="10">
        <f t="shared" si="7"/>
        <v>1</v>
      </c>
      <c r="L213" s="12">
        <f t="shared" si="2"/>
        <v>2000</v>
      </c>
      <c r="M213" s="12">
        <f t="shared" si="6"/>
        <v>0</v>
      </c>
      <c r="N213" s="12">
        <f t="shared" si="4"/>
        <v>0</v>
      </c>
      <c r="O213" s="12">
        <f t="shared" si="5"/>
        <v>0</v>
      </c>
      <c r="AI213" s="8" t="s">
        <v>542</v>
      </c>
    </row>
    <row r="214" ht="15.75" customHeight="1">
      <c r="A214" s="2" t="s">
        <v>543</v>
      </c>
      <c r="B214" s="2" t="s">
        <v>544</v>
      </c>
      <c r="D214" s="2" t="s">
        <v>81</v>
      </c>
      <c r="E214" s="2" t="s">
        <v>84</v>
      </c>
      <c r="F214" s="11"/>
      <c r="G214" s="12"/>
      <c r="H214" s="13">
        <v>2000.0</v>
      </c>
      <c r="I214" s="2">
        <v>10.0</v>
      </c>
      <c r="K214" s="10">
        <f t="shared" si="7"/>
        <v>10</v>
      </c>
      <c r="L214" s="12">
        <f t="shared" si="2"/>
        <v>20000</v>
      </c>
      <c r="M214" s="12">
        <f t="shared" si="6"/>
        <v>0</v>
      </c>
      <c r="N214" s="12">
        <f t="shared" si="4"/>
        <v>0</v>
      </c>
      <c r="O214" s="12">
        <f t="shared" si="5"/>
        <v>0</v>
      </c>
      <c r="AI214" s="8" t="s">
        <v>545</v>
      </c>
    </row>
    <row r="215" ht="15.75" customHeight="1">
      <c r="A215" s="2" t="s">
        <v>546</v>
      </c>
      <c r="B215" s="2" t="s">
        <v>547</v>
      </c>
      <c r="D215" s="2" t="s">
        <v>78</v>
      </c>
      <c r="E215" s="2" t="s">
        <v>84</v>
      </c>
      <c r="F215" s="11"/>
      <c r="G215" s="12"/>
      <c r="H215" s="13">
        <v>10000.0</v>
      </c>
      <c r="I215" s="2">
        <v>2.0</v>
      </c>
      <c r="K215" s="10">
        <f t="shared" si="7"/>
        <v>2</v>
      </c>
      <c r="L215" s="12">
        <f t="shared" si="2"/>
        <v>20000</v>
      </c>
      <c r="M215" s="12">
        <f t="shared" si="6"/>
        <v>0</v>
      </c>
      <c r="N215" s="12">
        <f t="shared" si="4"/>
        <v>0</v>
      </c>
      <c r="O215" s="12">
        <f t="shared" si="5"/>
        <v>0</v>
      </c>
      <c r="AI215" s="8" t="s">
        <v>548</v>
      </c>
    </row>
    <row r="216" ht="15.75" customHeight="1">
      <c r="A216" s="2">
        <v>3.7413103038E10</v>
      </c>
      <c r="B216" s="2" t="s">
        <v>549</v>
      </c>
      <c r="D216" s="2" t="s">
        <v>54</v>
      </c>
      <c r="E216" s="2" t="s">
        <v>84</v>
      </c>
      <c r="F216" s="11"/>
      <c r="G216" s="12"/>
      <c r="H216" s="13">
        <v>1500.0</v>
      </c>
      <c r="I216" s="2">
        <v>8.0</v>
      </c>
      <c r="K216" s="10">
        <f t="shared" si="7"/>
        <v>8</v>
      </c>
      <c r="L216" s="12">
        <f t="shared" si="2"/>
        <v>12000</v>
      </c>
      <c r="M216" s="12">
        <f t="shared" si="6"/>
        <v>0</v>
      </c>
      <c r="N216" s="12">
        <f t="shared" si="4"/>
        <v>0</v>
      </c>
      <c r="O216" s="12">
        <f t="shared" si="5"/>
        <v>0</v>
      </c>
      <c r="AI216" s="8" t="s">
        <v>550</v>
      </c>
    </row>
    <row r="217" ht="15.75" customHeight="1">
      <c r="A217" s="2" t="s">
        <v>551</v>
      </c>
      <c r="B217" s="2" t="s">
        <v>549</v>
      </c>
      <c r="D217" s="2" t="s">
        <v>81</v>
      </c>
      <c r="E217" s="2" t="s">
        <v>84</v>
      </c>
      <c r="F217" s="11"/>
      <c r="G217" s="12"/>
      <c r="H217" s="13">
        <v>2000.0</v>
      </c>
      <c r="I217" s="2">
        <v>5.0</v>
      </c>
      <c r="K217" s="10">
        <f t="shared" si="7"/>
        <v>5</v>
      </c>
      <c r="L217" s="12">
        <f t="shared" si="2"/>
        <v>10000</v>
      </c>
      <c r="M217" s="12">
        <f t="shared" si="6"/>
        <v>0</v>
      </c>
      <c r="N217" s="12">
        <f t="shared" si="4"/>
        <v>0</v>
      </c>
      <c r="O217" s="12">
        <f t="shared" si="5"/>
        <v>0</v>
      </c>
      <c r="AI217" s="8" t="s">
        <v>552</v>
      </c>
    </row>
    <row r="218" ht="15.75" customHeight="1">
      <c r="A218" s="2" t="s">
        <v>553</v>
      </c>
      <c r="B218" s="2" t="s">
        <v>549</v>
      </c>
      <c r="D218" s="2" t="s">
        <v>54</v>
      </c>
      <c r="E218" s="2" t="s">
        <v>84</v>
      </c>
      <c r="F218" s="11"/>
      <c r="G218" s="12"/>
      <c r="H218" s="13">
        <v>2000.0</v>
      </c>
      <c r="I218" s="2">
        <v>15.0</v>
      </c>
      <c r="K218" s="10">
        <f t="shared" si="7"/>
        <v>15</v>
      </c>
      <c r="L218" s="12">
        <f t="shared" si="2"/>
        <v>30000</v>
      </c>
      <c r="M218" s="12">
        <f t="shared" si="6"/>
        <v>0</v>
      </c>
      <c r="N218" s="12">
        <f t="shared" si="4"/>
        <v>0</v>
      </c>
      <c r="O218" s="12">
        <f t="shared" si="5"/>
        <v>0</v>
      </c>
      <c r="AI218" s="8" t="s">
        <v>554</v>
      </c>
    </row>
    <row r="219" ht="15.75" customHeight="1">
      <c r="A219" s="2" t="s">
        <v>555</v>
      </c>
      <c r="B219" s="2" t="s">
        <v>556</v>
      </c>
      <c r="D219" s="2" t="s">
        <v>557</v>
      </c>
      <c r="E219" s="2" t="s">
        <v>79</v>
      </c>
      <c r="F219" s="11"/>
      <c r="G219" s="12"/>
      <c r="H219" s="13">
        <v>2000.0</v>
      </c>
      <c r="I219" s="2">
        <v>1.0</v>
      </c>
      <c r="K219" s="10">
        <f t="shared" si="7"/>
        <v>1</v>
      </c>
      <c r="L219" s="12">
        <f t="shared" si="2"/>
        <v>2000</v>
      </c>
      <c r="M219" s="12">
        <f t="shared" si="6"/>
        <v>0</v>
      </c>
      <c r="N219" s="12">
        <f t="shared" si="4"/>
        <v>0</v>
      </c>
      <c r="O219" s="12">
        <f t="shared" si="5"/>
        <v>0</v>
      </c>
      <c r="AI219" s="8" t="s">
        <v>558</v>
      </c>
    </row>
    <row r="220" ht="15.75" customHeight="1">
      <c r="A220" s="2" t="s">
        <v>559</v>
      </c>
      <c r="B220" s="2" t="s">
        <v>560</v>
      </c>
      <c r="D220" s="2" t="s">
        <v>54</v>
      </c>
      <c r="E220" s="2" t="s">
        <v>84</v>
      </c>
      <c r="F220" s="11"/>
      <c r="G220" s="12"/>
      <c r="H220" s="13">
        <v>1500.0</v>
      </c>
      <c r="I220" s="2">
        <v>17.0</v>
      </c>
      <c r="K220" s="10">
        <f t="shared" si="7"/>
        <v>17</v>
      </c>
      <c r="L220" s="12">
        <f t="shared" si="2"/>
        <v>25500</v>
      </c>
      <c r="M220" s="12">
        <f t="shared" si="6"/>
        <v>0</v>
      </c>
      <c r="N220" s="12">
        <f t="shared" si="4"/>
        <v>0</v>
      </c>
      <c r="O220" s="12">
        <f t="shared" si="5"/>
        <v>0</v>
      </c>
      <c r="AI220" s="8" t="s">
        <v>561</v>
      </c>
    </row>
    <row r="221" ht="15.75" customHeight="1">
      <c r="A221" s="2" t="s">
        <v>562</v>
      </c>
      <c r="B221" s="2" t="s">
        <v>563</v>
      </c>
      <c r="D221" s="2" t="s">
        <v>54</v>
      </c>
      <c r="E221" s="2" t="s">
        <v>84</v>
      </c>
      <c r="F221" s="11"/>
      <c r="G221" s="12"/>
      <c r="H221" s="13">
        <v>1500.0</v>
      </c>
      <c r="I221" s="2">
        <v>13.0</v>
      </c>
      <c r="K221" s="10">
        <f t="shared" si="7"/>
        <v>13</v>
      </c>
      <c r="L221" s="12">
        <f t="shared" si="2"/>
        <v>19500</v>
      </c>
      <c r="M221" s="12">
        <f t="shared" si="6"/>
        <v>0</v>
      </c>
      <c r="N221" s="12">
        <f t="shared" si="4"/>
        <v>0</v>
      </c>
      <c r="O221" s="12">
        <f t="shared" si="5"/>
        <v>0</v>
      </c>
      <c r="AI221" s="8" t="s">
        <v>564</v>
      </c>
    </row>
    <row r="222" ht="15.75" customHeight="1">
      <c r="A222" s="2" t="s">
        <v>565</v>
      </c>
      <c r="B222" s="2" t="s">
        <v>566</v>
      </c>
      <c r="D222" s="2" t="s">
        <v>78</v>
      </c>
      <c r="E222" s="2" t="s">
        <v>84</v>
      </c>
      <c r="F222" s="11"/>
      <c r="G222" s="12"/>
      <c r="H222" s="13">
        <v>2000.0</v>
      </c>
      <c r="I222" s="2">
        <v>10.0</v>
      </c>
      <c r="K222" s="10">
        <f t="shared" si="7"/>
        <v>10</v>
      </c>
      <c r="L222" s="12">
        <f t="shared" si="2"/>
        <v>20000</v>
      </c>
      <c r="M222" s="12">
        <f t="shared" si="6"/>
        <v>0</v>
      </c>
      <c r="N222" s="12">
        <f t="shared" si="4"/>
        <v>0</v>
      </c>
      <c r="O222" s="12">
        <f t="shared" si="5"/>
        <v>0</v>
      </c>
      <c r="AI222" s="8" t="s">
        <v>567</v>
      </c>
    </row>
    <row r="223" ht="15.75" customHeight="1">
      <c r="B223" s="2" t="s">
        <v>568</v>
      </c>
      <c r="D223" s="2" t="s">
        <v>54</v>
      </c>
      <c r="E223" s="2" t="s">
        <v>79</v>
      </c>
      <c r="F223" s="11"/>
      <c r="G223" s="12"/>
      <c r="H223" s="13">
        <v>4000.0</v>
      </c>
      <c r="I223" s="2">
        <v>1.0</v>
      </c>
      <c r="K223" s="10">
        <f t="shared" si="7"/>
        <v>1</v>
      </c>
      <c r="L223" s="12">
        <f t="shared" si="2"/>
        <v>4000</v>
      </c>
      <c r="M223" s="12" t="str">
        <f t="shared" si="6"/>
        <v/>
      </c>
      <c r="N223" s="12" t="str">
        <f t="shared" si="4"/>
        <v/>
      </c>
      <c r="O223" s="12" t="str">
        <f t="shared" si="5"/>
        <v/>
      </c>
      <c r="AI223" s="8" t="s">
        <v>569</v>
      </c>
    </row>
    <row r="224" ht="15.75" customHeight="1">
      <c r="B224" s="2" t="s">
        <v>568</v>
      </c>
      <c r="D224" s="2" t="s">
        <v>78</v>
      </c>
      <c r="E224" s="2" t="s">
        <v>79</v>
      </c>
      <c r="F224" s="11"/>
      <c r="G224" s="12"/>
      <c r="H224" s="13">
        <v>4000.0</v>
      </c>
      <c r="I224" s="2">
        <v>3.0</v>
      </c>
      <c r="K224" s="10">
        <f t="shared" si="7"/>
        <v>3</v>
      </c>
      <c r="L224" s="12">
        <f t="shared" si="2"/>
        <v>12000</v>
      </c>
      <c r="M224" s="12" t="str">
        <f t="shared" si="6"/>
        <v/>
      </c>
      <c r="N224" s="12" t="str">
        <f t="shared" si="4"/>
        <v/>
      </c>
      <c r="O224" s="12" t="str">
        <f t="shared" si="5"/>
        <v/>
      </c>
      <c r="AI224" s="8" t="s">
        <v>570</v>
      </c>
    </row>
    <row r="225" ht="15.75" customHeight="1">
      <c r="B225" s="2" t="s">
        <v>568</v>
      </c>
      <c r="D225" s="2" t="s">
        <v>263</v>
      </c>
      <c r="E225" s="2" t="s">
        <v>79</v>
      </c>
      <c r="F225" s="11"/>
      <c r="G225" s="12"/>
      <c r="H225" s="13">
        <v>4000.0</v>
      </c>
      <c r="I225" s="2">
        <v>7.0</v>
      </c>
      <c r="K225" s="10">
        <f t="shared" si="7"/>
        <v>7</v>
      </c>
      <c r="L225" s="12">
        <f t="shared" si="2"/>
        <v>28000</v>
      </c>
      <c r="M225" s="12" t="str">
        <f t="shared" si="6"/>
        <v/>
      </c>
      <c r="N225" s="12" t="str">
        <f t="shared" si="4"/>
        <v/>
      </c>
      <c r="O225" s="12" t="str">
        <f t="shared" si="5"/>
        <v/>
      </c>
      <c r="AI225" s="8" t="s">
        <v>571</v>
      </c>
    </row>
    <row r="226" ht="15.75" customHeight="1">
      <c r="A226" s="2">
        <v>3.302340109E10</v>
      </c>
      <c r="B226" s="2" t="s">
        <v>572</v>
      </c>
      <c r="D226" s="2" t="s">
        <v>81</v>
      </c>
      <c r="E226" s="2" t="s">
        <v>84</v>
      </c>
      <c r="F226" s="11"/>
      <c r="G226" s="12"/>
      <c r="H226" s="13">
        <v>12000.0</v>
      </c>
      <c r="I226" s="2">
        <v>1.0</v>
      </c>
      <c r="K226" s="10">
        <f t="shared" si="7"/>
        <v>1</v>
      </c>
      <c r="L226" s="12">
        <f t="shared" si="2"/>
        <v>12000</v>
      </c>
      <c r="M226" s="12">
        <f t="shared" si="6"/>
        <v>0</v>
      </c>
      <c r="N226" s="12">
        <f t="shared" si="4"/>
        <v>0</v>
      </c>
      <c r="O226" s="12">
        <f t="shared" si="5"/>
        <v>0</v>
      </c>
      <c r="AI226" s="8" t="s">
        <v>573</v>
      </c>
    </row>
    <row r="227" ht="15.75" customHeight="1">
      <c r="A227" s="2" t="s">
        <v>574</v>
      </c>
      <c r="B227" s="2" t="s">
        <v>575</v>
      </c>
      <c r="D227" s="2" t="s">
        <v>88</v>
      </c>
      <c r="E227" s="2" t="s">
        <v>79</v>
      </c>
      <c r="F227" s="11"/>
      <c r="G227" s="12"/>
      <c r="H227" s="13">
        <v>45000.0</v>
      </c>
      <c r="I227" s="2">
        <v>1.0</v>
      </c>
      <c r="K227" s="10">
        <f t="shared" si="7"/>
        <v>1</v>
      </c>
      <c r="L227" s="12">
        <f t="shared" si="2"/>
        <v>45000</v>
      </c>
      <c r="M227" s="12">
        <f t="shared" si="6"/>
        <v>0</v>
      </c>
      <c r="N227" s="12">
        <f t="shared" si="4"/>
        <v>0</v>
      </c>
      <c r="O227" s="12">
        <f t="shared" si="5"/>
        <v>0</v>
      </c>
      <c r="AI227" s="8" t="s">
        <v>576</v>
      </c>
    </row>
    <row r="228" ht="15.75" customHeight="1">
      <c r="A228" s="2" t="s">
        <v>577</v>
      </c>
      <c r="B228" s="2" t="s">
        <v>578</v>
      </c>
      <c r="D228" s="2" t="s">
        <v>86</v>
      </c>
      <c r="E228" s="2" t="s">
        <v>79</v>
      </c>
      <c r="F228" s="11"/>
      <c r="G228" s="12"/>
      <c r="H228" s="13">
        <v>50000.0</v>
      </c>
      <c r="I228" s="2">
        <v>1.0</v>
      </c>
      <c r="K228" s="10">
        <f t="shared" si="7"/>
        <v>1</v>
      </c>
      <c r="L228" s="12">
        <f t="shared" si="2"/>
        <v>50000</v>
      </c>
      <c r="M228" s="12">
        <f t="shared" si="6"/>
        <v>0</v>
      </c>
      <c r="N228" s="12">
        <f t="shared" si="4"/>
        <v>0</v>
      </c>
      <c r="O228" s="12">
        <f t="shared" si="5"/>
        <v>0</v>
      </c>
      <c r="AI228" s="8" t="s">
        <v>579</v>
      </c>
    </row>
    <row r="229" ht="15.75" customHeight="1">
      <c r="B229" s="2" t="s">
        <v>580</v>
      </c>
      <c r="D229" s="2" t="s">
        <v>78</v>
      </c>
      <c r="E229" s="2" t="s">
        <v>84</v>
      </c>
      <c r="F229" s="11"/>
      <c r="G229" s="12"/>
      <c r="H229" s="13">
        <v>5000.0</v>
      </c>
      <c r="I229" s="2">
        <v>1.0</v>
      </c>
      <c r="K229" s="10">
        <f t="shared" si="7"/>
        <v>1</v>
      </c>
      <c r="L229" s="12">
        <f t="shared" si="2"/>
        <v>5000</v>
      </c>
      <c r="M229" s="12" t="str">
        <f t="shared" si="6"/>
        <v/>
      </c>
      <c r="N229" s="12" t="str">
        <f t="shared" si="4"/>
        <v/>
      </c>
      <c r="O229" s="12" t="str">
        <f t="shared" si="5"/>
        <v/>
      </c>
      <c r="AI229" s="8" t="s">
        <v>581</v>
      </c>
    </row>
    <row r="230" ht="15.75" customHeight="1">
      <c r="B230" s="2" t="s">
        <v>582</v>
      </c>
      <c r="D230" s="2" t="s">
        <v>54</v>
      </c>
      <c r="E230" s="2" t="s">
        <v>84</v>
      </c>
      <c r="F230" s="11"/>
      <c r="G230" s="12"/>
      <c r="H230" s="13">
        <v>5000.0</v>
      </c>
      <c r="I230" s="2">
        <v>6.0</v>
      </c>
      <c r="K230" s="10">
        <f t="shared" si="7"/>
        <v>6</v>
      </c>
      <c r="L230" s="12">
        <f t="shared" si="2"/>
        <v>30000</v>
      </c>
      <c r="M230" s="12" t="str">
        <f t="shared" si="6"/>
        <v/>
      </c>
      <c r="N230" s="12" t="str">
        <f t="shared" si="4"/>
        <v/>
      </c>
      <c r="O230" s="12" t="str">
        <f t="shared" si="5"/>
        <v/>
      </c>
      <c r="AI230" s="8" t="s">
        <v>583</v>
      </c>
    </row>
    <row r="231" ht="15.75" customHeight="1">
      <c r="A231" s="2">
        <v>6.9310301501E10</v>
      </c>
      <c r="B231" s="2" t="s">
        <v>584</v>
      </c>
      <c r="D231" s="2" t="s">
        <v>135</v>
      </c>
      <c r="E231" s="2" t="s">
        <v>84</v>
      </c>
      <c r="F231" s="11"/>
      <c r="G231" s="12"/>
      <c r="H231" s="13">
        <v>17000.0</v>
      </c>
      <c r="I231" s="2">
        <v>4.0</v>
      </c>
      <c r="K231" s="10">
        <f t="shared" si="7"/>
        <v>4</v>
      </c>
      <c r="L231" s="12">
        <f t="shared" si="2"/>
        <v>68000</v>
      </c>
      <c r="M231" s="12">
        <f t="shared" si="6"/>
        <v>0</v>
      </c>
      <c r="N231" s="12">
        <f t="shared" si="4"/>
        <v>0</v>
      </c>
      <c r="O231" s="12">
        <f t="shared" si="5"/>
        <v>0</v>
      </c>
      <c r="AI231" s="8" t="s">
        <v>585</v>
      </c>
    </row>
    <row r="232" ht="15.75" customHeight="1">
      <c r="A232" s="2">
        <v>3.1029111701E11</v>
      </c>
      <c r="B232" s="2" t="s">
        <v>586</v>
      </c>
      <c r="D232" s="2" t="s">
        <v>135</v>
      </c>
      <c r="E232" s="2" t="s">
        <v>435</v>
      </c>
      <c r="F232" s="11"/>
      <c r="G232" s="12"/>
      <c r="H232" s="13">
        <v>4000.0</v>
      </c>
      <c r="I232" s="2">
        <v>4.0</v>
      </c>
      <c r="K232" s="10">
        <f t="shared" si="7"/>
        <v>4</v>
      </c>
      <c r="L232" s="12">
        <f t="shared" si="2"/>
        <v>16000</v>
      </c>
      <c r="M232" s="12">
        <f t="shared" si="6"/>
        <v>0</v>
      </c>
      <c r="N232" s="12">
        <f t="shared" si="4"/>
        <v>0</v>
      </c>
      <c r="O232" s="12">
        <f t="shared" si="5"/>
        <v>0</v>
      </c>
      <c r="AI232" s="8" t="s">
        <v>587</v>
      </c>
    </row>
    <row r="233" ht="15.75" customHeight="1">
      <c r="B233" s="2" t="s">
        <v>588</v>
      </c>
      <c r="D233" s="2" t="s">
        <v>135</v>
      </c>
      <c r="E233" s="2" t="s">
        <v>68</v>
      </c>
      <c r="F233" s="11"/>
      <c r="G233" s="12"/>
      <c r="H233" s="13">
        <v>3000.0</v>
      </c>
      <c r="I233" s="2">
        <v>42.0</v>
      </c>
      <c r="K233" s="10">
        <f t="shared" si="7"/>
        <v>42</v>
      </c>
      <c r="L233" s="12">
        <f t="shared" si="2"/>
        <v>126000</v>
      </c>
      <c r="M233" s="12" t="str">
        <f t="shared" si="6"/>
        <v/>
      </c>
      <c r="N233" s="12" t="str">
        <f t="shared" si="4"/>
        <v/>
      </c>
      <c r="O233" s="12" t="str">
        <f t="shared" si="5"/>
        <v/>
      </c>
      <c r="AI233" s="8" t="s">
        <v>589</v>
      </c>
    </row>
    <row r="234" ht="15.75" customHeight="1">
      <c r="B234" s="2" t="s">
        <v>590</v>
      </c>
      <c r="D234" s="2" t="s">
        <v>88</v>
      </c>
      <c r="E234" s="2" t="s">
        <v>68</v>
      </c>
      <c r="F234" s="11"/>
      <c r="G234" s="12"/>
      <c r="H234" s="13">
        <v>5000.0</v>
      </c>
      <c r="I234" s="2">
        <v>3.0</v>
      </c>
      <c r="K234" s="10">
        <f t="shared" si="7"/>
        <v>3</v>
      </c>
      <c r="L234" s="12">
        <f t="shared" si="2"/>
        <v>15000</v>
      </c>
      <c r="M234" s="12" t="str">
        <f t="shared" si="6"/>
        <v/>
      </c>
      <c r="N234" s="12" t="str">
        <f t="shared" si="4"/>
        <v/>
      </c>
      <c r="O234" s="12" t="str">
        <f t="shared" si="5"/>
        <v/>
      </c>
      <c r="AI234" s="8" t="s">
        <v>591</v>
      </c>
    </row>
    <row r="235" ht="15.75" customHeight="1">
      <c r="A235" s="2">
        <v>3.160350107602E12</v>
      </c>
      <c r="B235" s="2" t="s">
        <v>592</v>
      </c>
      <c r="D235" s="2" t="s">
        <v>175</v>
      </c>
      <c r="E235" s="2" t="s">
        <v>68</v>
      </c>
      <c r="F235" s="11"/>
      <c r="G235" s="12"/>
      <c r="H235" s="13">
        <v>15000.0</v>
      </c>
      <c r="I235" s="2">
        <v>5.0</v>
      </c>
      <c r="K235" s="10">
        <f t="shared" si="7"/>
        <v>5</v>
      </c>
      <c r="L235" s="12">
        <f t="shared" si="2"/>
        <v>75000</v>
      </c>
      <c r="M235" s="12">
        <f t="shared" si="6"/>
        <v>0</v>
      </c>
      <c r="N235" s="12">
        <f t="shared" si="4"/>
        <v>0</v>
      </c>
      <c r="O235" s="12">
        <f t="shared" si="5"/>
        <v>0</v>
      </c>
      <c r="AI235" s="8" t="s">
        <v>593</v>
      </c>
    </row>
    <row r="236" ht="15.75" customHeight="1">
      <c r="A236" s="2">
        <v>3.1603501014E10</v>
      </c>
      <c r="B236" s="2" t="s">
        <v>594</v>
      </c>
      <c r="D236" s="2" t="s">
        <v>175</v>
      </c>
      <c r="E236" s="2" t="s">
        <v>68</v>
      </c>
      <c r="F236" s="11"/>
      <c r="G236" s="12"/>
      <c r="H236" s="13">
        <v>45000.0</v>
      </c>
      <c r="I236" s="2">
        <v>11.0</v>
      </c>
      <c r="K236" s="10">
        <f t="shared" si="7"/>
        <v>11</v>
      </c>
      <c r="L236" s="12">
        <f t="shared" si="2"/>
        <v>495000</v>
      </c>
      <c r="M236" s="12">
        <f t="shared" si="6"/>
        <v>0</v>
      </c>
      <c r="N236" s="12">
        <f t="shared" si="4"/>
        <v>0</v>
      </c>
      <c r="O236" s="12">
        <f t="shared" si="5"/>
        <v>0</v>
      </c>
      <c r="AI236" s="8" t="s">
        <v>595</v>
      </c>
    </row>
    <row r="237" ht="15.75" customHeight="1">
      <c r="A237" s="2">
        <v>6.616350104E10</v>
      </c>
      <c r="B237" s="2" t="s">
        <v>596</v>
      </c>
      <c r="D237" s="2" t="s">
        <v>597</v>
      </c>
      <c r="E237" s="2" t="s">
        <v>68</v>
      </c>
      <c r="F237" s="11"/>
      <c r="G237" s="12"/>
      <c r="H237" s="13">
        <v>8000.0</v>
      </c>
      <c r="I237" s="2">
        <v>1.0</v>
      </c>
      <c r="K237" s="10">
        <f t="shared" si="7"/>
        <v>1</v>
      </c>
      <c r="L237" s="12">
        <f t="shared" si="2"/>
        <v>8000</v>
      </c>
      <c r="M237" s="12">
        <f t="shared" si="6"/>
        <v>0</v>
      </c>
      <c r="N237" s="12">
        <f t="shared" si="4"/>
        <v>0</v>
      </c>
      <c r="O237" s="12">
        <f t="shared" si="5"/>
        <v>0</v>
      </c>
      <c r="AI237" s="8" t="s">
        <v>598</v>
      </c>
    </row>
    <row r="238" ht="15.75" customHeight="1">
      <c r="A238" s="2">
        <v>4.69003501041496E14</v>
      </c>
      <c r="B238" s="2" t="s">
        <v>599</v>
      </c>
      <c r="D238" s="2" t="s">
        <v>54</v>
      </c>
      <c r="E238" s="2" t="s">
        <v>68</v>
      </c>
      <c r="F238" s="11"/>
      <c r="G238" s="12"/>
      <c r="H238" s="13">
        <v>5000.0</v>
      </c>
      <c r="I238" s="2">
        <v>13.0</v>
      </c>
      <c r="K238" s="10">
        <f t="shared" si="7"/>
        <v>13</v>
      </c>
      <c r="L238" s="12">
        <f t="shared" si="2"/>
        <v>65000</v>
      </c>
      <c r="M238" s="12">
        <f t="shared" si="6"/>
        <v>0</v>
      </c>
      <c r="N238" s="12">
        <f t="shared" si="4"/>
        <v>0</v>
      </c>
      <c r="O238" s="12">
        <f t="shared" si="5"/>
        <v>0</v>
      </c>
      <c r="AI238" s="8" t="s">
        <v>600</v>
      </c>
    </row>
    <row r="239" ht="15.75" customHeight="1">
      <c r="A239" s="2">
        <v>4.69003501040496E14</v>
      </c>
      <c r="B239" s="2" t="s">
        <v>601</v>
      </c>
      <c r="D239" s="2" t="s">
        <v>93</v>
      </c>
      <c r="E239" s="2" t="s">
        <v>68</v>
      </c>
      <c r="F239" s="11"/>
      <c r="G239" s="12"/>
      <c r="H239" s="13">
        <v>5000.0</v>
      </c>
      <c r="I239" s="2">
        <v>4.0</v>
      </c>
      <c r="K239" s="10">
        <f t="shared" si="7"/>
        <v>4</v>
      </c>
      <c r="L239" s="12">
        <f t="shared" si="2"/>
        <v>20000</v>
      </c>
      <c r="M239" s="12">
        <f t="shared" si="6"/>
        <v>0</v>
      </c>
      <c r="N239" s="12">
        <f t="shared" si="4"/>
        <v>0</v>
      </c>
      <c r="O239" s="12">
        <f t="shared" si="5"/>
        <v>0</v>
      </c>
      <c r="AI239" s="8" t="s">
        <v>602</v>
      </c>
    </row>
    <row r="240" ht="15.75" customHeight="1">
      <c r="A240" s="2">
        <v>3.7413502013E10</v>
      </c>
      <c r="B240" s="2" t="s">
        <v>603</v>
      </c>
      <c r="C240" s="2" t="s">
        <v>54</v>
      </c>
      <c r="D240" s="2" t="s">
        <v>175</v>
      </c>
      <c r="E240" s="2" t="s">
        <v>68</v>
      </c>
      <c r="F240" s="11"/>
      <c r="G240" s="12"/>
      <c r="H240" s="13">
        <v>15000.0</v>
      </c>
      <c r="I240" s="2">
        <v>4.0</v>
      </c>
      <c r="K240" s="10">
        <f t="shared" si="7"/>
        <v>4</v>
      </c>
      <c r="L240" s="12">
        <f t="shared" si="2"/>
        <v>60000</v>
      </c>
      <c r="M240" s="12">
        <f t="shared" si="6"/>
        <v>0</v>
      </c>
      <c r="N240" s="12">
        <f t="shared" si="4"/>
        <v>0</v>
      </c>
      <c r="O240" s="12">
        <f t="shared" si="5"/>
        <v>0</v>
      </c>
      <c r="AI240" s="8" t="s">
        <v>604</v>
      </c>
    </row>
    <row r="241" ht="15.75" customHeight="1">
      <c r="A241" s="2">
        <v>4.523501015E9</v>
      </c>
      <c r="B241" s="2" t="s">
        <v>605</v>
      </c>
      <c r="D241" s="2" t="s">
        <v>54</v>
      </c>
      <c r="E241" s="2" t="s">
        <v>68</v>
      </c>
      <c r="F241" s="11"/>
      <c r="G241" s="12"/>
      <c r="H241" s="13">
        <v>15000.0</v>
      </c>
      <c r="I241" s="2">
        <v>3.0</v>
      </c>
      <c r="K241" s="10">
        <f t="shared" si="7"/>
        <v>3</v>
      </c>
      <c r="L241" s="12">
        <f t="shared" si="2"/>
        <v>45000</v>
      </c>
      <c r="M241" s="12">
        <f t="shared" si="6"/>
        <v>0</v>
      </c>
      <c r="N241" s="12">
        <f t="shared" si="4"/>
        <v>0</v>
      </c>
      <c r="O241" s="12">
        <f t="shared" si="5"/>
        <v>0</v>
      </c>
      <c r="AI241" s="8" t="s">
        <v>606</v>
      </c>
    </row>
    <row r="242" ht="15.75" customHeight="1">
      <c r="B242" s="2" t="s">
        <v>607</v>
      </c>
      <c r="D242" s="2" t="s">
        <v>81</v>
      </c>
      <c r="E242" s="2" t="s">
        <v>82</v>
      </c>
      <c r="F242" s="11"/>
      <c r="G242" s="12"/>
      <c r="H242" s="13">
        <v>6000.0</v>
      </c>
      <c r="I242" s="2">
        <v>1.0</v>
      </c>
      <c r="K242" s="10">
        <f t="shared" si="7"/>
        <v>1</v>
      </c>
      <c r="L242" s="12">
        <f t="shared" si="2"/>
        <v>6000</v>
      </c>
      <c r="M242" s="12" t="str">
        <f t="shared" si="6"/>
        <v/>
      </c>
      <c r="N242" s="12" t="str">
        <f t="shared" si="4"/>
        <v/>
      </c>
      <c r="O242" s="12" t="str">
        <f t="shared" si="5"/>
        <v/>
      </c>
      <c r="AI242" s="8" t="s">
        <v>608</v>
      </c>
    </row>
    <row r="243" ht="15.75" customHeight="1">
      <c r="A243" s="2" t="s">
        <v>609</v>
      </c>
      <c r="B243" s="2" t="s">
        <v>610</v>
      </c>
      <c r="D243" s="2" t="s">
        <v>54</v>
      </c>
      <c r="E243" s="2" t="s">
        <v>68</v>
      </c>
      <c r="F243" s="11"/>
      <c r="G243" s="12"/>
      <c r="H243" s="13">
        <v>2000.0</v>
      </c>
      <c r="I243" s="2">
        <v>9.0</v>
      </c>
      <c r="K243" s="10">
        <f t="shared" si="7"/>
        <v>9</v>
      </c>
      <c r="L243" s="12">
        <f t="shared" si="2"/>
        <v>18000</v>
      </c>
      <c r="M243" s="12">
        <f t="shared" si="6"/>
        <v>0</v>
      </c>
      <c r="N243" s="12">
        <f t="shared" si="4"/>
        <v>0</v>
      </c>
      <c r="O243" s="12">
        <f t="shared" si="5"/>
        <v>0</v>
      </c>
      <c r="AI243" s="8" t="s">
        <v>611</v>
      </c>
    </row>
    <row r="244" ht="15.75" customHeight="1">
      <c r="B244" s="2" t="s">
        <v>612</v>
      </c>
      <c r="D244" s="2" t="s">
        <v>54</v>
      </c>
      <c r="E244" s="2" t="s">
        <v>79</v>
      </c>
      <c r="F244" s="11"/>
      <c r="G244" s="12"/>
      <c r="H244" s="13">
        <v>3000.0</v>
      </c>
      <c r="I244" s="2">
        <v>1.0</v>
      </c>
      <c r="K244" s="10">
        <f t="shared" si="7"/>
        <v>1</v>
      </c>
      <c r="L244" s="12">
        <f t="shared" si="2"/>
        <v>3000</v>
      </c>
      <c r="M244" s="12" t="str">
        <f t="shared" si="6"/>
        <v/>
      </c>
      <c r="N244" s="12" t="str">
        <f t="shared" si="4"/>
        <v/>
      </c>
      <c r="O244" s="12" t="str">
        <f t="shared" si="5"/>
        <v/>
      </c>
      <c r="AI244" s="8" t="s">
        <v>613</v>
      </c>
    </row>
    <row r="245" ht="15.75" customHeight="1">
      <c r="B245" s="2" t="s">
        <v>614</v>
      </c>
      <c r="D245" s="2" t="s">
        <v>54</v>
      </c>
      <c r="E245" s="2" t="s">
        <v>148</v>
      </c>
      <c r="F245" s="11"/>
      <c r="G245" s="12"/>
      <c r="H245" s="13">
        <v>5000.0</v>
      </c>
      <c r="I245" s="2">
        <v>3.0</v>
      </c>
      <c r="K245" s="10">
        <f t="shared" si="7"/>
        <v>3</v>
      </c>
      <c r="L245" s="12">
        <f t="shared" si="2"/>
        <v>15000</v>
      </c>
      <c r="M245" s="12" t="str">
        <f t="shared" si="6"/>
        <v/>
      </c>
      <c r="N245" s="12" t="str">
        <f t="shared" si="4"/>
        <v/>
      </c>
      <c r="O245" s="12" t="str">
        <f t="shared" si="5"/>
        <v/>
      </c>
      <c r="AI245" s="8" t="s">
        <v>615</v>
      </c>
    </row>
    <row r="246" ht="15.75" customHeight="1">
      <c r="B246" s="2" t="s">
        <v>616</v>
      </c>
      <c r="D246" s="2" t="s">
        <v>135</v>
      </c>
      <c r="E246" s="2" t="s">
        <v>82</v>
      </c>
      <c r="F246" s="11"/>
      <c r="G246" s="12"/>
      <c r="H246" s="13">
        <v>700.0</v>
      </c>
      <c r="I246" s="2">
        <v>29.0</v>
      </c>
      <c r="K246" s="10">
        <f t="shared" si="7"/>
        <v>29</v>
      </c>
      <c r="L246" s="12">
        <f t="shared" si="2"/>
        <v>20300</v>
      </c>
      <c r="M246" s="12" t="str">
        <f t="shared" si="6"/>
        <v/>
      </c>
      <c r="N246" s="12" t="str">
        <f t="shared" si="4"/>
        <v/>
      </c>
      <c r="O246" s="12" t="str">
        <f t="shared" si="5"/>
        <v/>
      </c>
      <c r="AI246" s="8" t="s">
        <v>617</v>
      </c>
    </row>
    <row r="247" ht="15.75" customHeight="1">
      <c r="B247" s="2" t="s">
        <v>618</v>
      </c>
      <c r="D247" s="2" t="s">
        <v>78</v>
      </c>
      <c r="E247" s="2" t="s">
        <v>82</v>
      </c>
      <c r="F247" s="11"/>
      <c r="G247" s="12"/>
      <c r="H247" s="13">
        <v>1500.0</v>
      </c>
      <c r="I247" s="2">
        <v>17.0</v>
      </c>
      <c r="K247" s="10">
        <f t="shared" si="7"/>
        <v>17</v>
      </c>
      <c r="L247" s="12">
        <f t="shared" si="2"/>
        <v>25500</v>
      </c>
      <c r="M247" s="12" t="str">
        <f t="shared" si="6"/>
        <v/>
      </c>
      <c r="N247" s="12" t="str">
        <f t="shared" si="4"/>
        <v/>
      </c>
      <c r="O247" s="12" t="str">
        <f t="shared" si="5"/>
        <v/>
      </c>
      <c r="AI247" s="8" t="s">
        <v>619</v>
      </c>
    </row>
    <row r="248" ht="15.75" customHeight="1">
      <c r="A248" s="2" t="s">
        <v>620</v>
      </c>
      <c r="B248" s="2" t="s">
        <v>621</v>
      </c>
      <c r="D248" s="2" t="s">
        <v>78</v>
      </c>
      <c r="E248" s="2" t="s">
        <v>148</v>
      </c>
      <c r="F248" s="11"/>
      <c r="G248" s="12"/>
      <c r="H248" s="13">
        <v>3000.0</v>
      </c>
      <c r="I248" s="2">
        <v>1.0</v>
      </c>
      <c r="K248" s="10">
        <f t="shared" si="7"/>
        <v>1</v>
      </c>
      <c r="L248" s="12">
        <f t="shared" si="2"/>
        <v>3000</v>
      </c>
      <c r="M248" s="12">
        <f t="shared" si="6"/>
        <v>0</v>
      </c>
      <c r="N248" s="12">
        <f t="shared" si="4"/>
        <v>0</v>
      </c>
      <c r="O248" s="12">
        <f t="shared" si="5"/>
        <v>0</v>
      </c>
      <c r="AI248" s="8" t="s">
        <v>622</v>
      </c>
    </row>
    <row r="249" ht="15.75" customHeight="1">
      <c r="A249" s="2">
        <v>3.151351001003E12</v>
      </c>
      <c r="B249" s="2" t="s">
        <v>623</v>
      </c>
      <c r="D249" s="2" t="s">
        <v>135</v>
      </c>
      <c r="E249" s="2" t="s">
        <v>68</v>
      </c>
      <c r="F249" s="11"/>
      <c r="G249" s="12"/>
      <c r="H249" s="13">
        <v>50000.0</v>
      </c>
      <c r="I249" s="2">
        <v>1.0</v>
      </c>
      <c r="K249" s="10">
        <f t="shared" si="7"/>
        <v>1</v>
      </c>
      <c r="L249" s="12">
        <f t="shared" si="2"/>
        <v>50000</v>
      </c>
      <c r="M249" s="12">
        <f t="shared" si="6"/>
        <v>0</v>
      </c>
      <c r="N249" s="12">
        <f t="shared" si="4"/>
        <v>0</v>
      </c>
      <c r="O249" s="12">
        <f t="shared" si="5"/>
        <v>0</v>
      </c>
      <c r="AI249" s="8" t="s">
        <v>624</v>
      </c>
    </row>
    <row r="250" ht="15.75" customHeight="1">
      <c r="B250" s="2" t="s">
        <v>625</v>
      </c>
      <c r="D250" s="2" t="s">
        <v>54</v>
      </c>
      <c r="E250" s="2" t="s">
        <v>148</v>
      </c>
      <c r="F250" s="11"/>
      <c r="G250" s="12"/>
      <c r="H250" s="13">
        <v>20000.0</v>
      </c>
      <c r="I250" s="2">
        <v>2.0</v>
      </c>
      <c r="K250" s="10">
        <f t="shared" si="7"/>
        <v>2</v>
      </c>
      <c r="L250" s="12">
        <f t="shared" si="2"/>
        <v>40000</v>
      </c>
      <c r="M250" s="12" t="str">
        <f t="shared" si="6"/>
        <v/>
      </c>
      <c r="N250" s="12" t="str">
        <f t="shared" si="4"/>
        <v/>
      </c>
      <c r="O250" s="12" t="str">
        <f t="shared" si="5"/>
        <v/>
      </c>
      <c r="AI250" s="8" t="s">
        <v>626</v>
      </c>
    </row>
    <row r="251" ht="15.75" customHeight="1">
      <c r="A251" s="2">
        <v>2.705642531001E12</v>
      </c>
      <c r="B251" s="2" t="s">
        <v>627</v>
      </c>
      <c r="D251" s="2" t="s">
        <v>81</v>
      </c>
      <c r="E251" s="2" t="s">
        <v>201</v>
      </c>
      <c r="F251" s="11"/>
      <c r="G251" s="12"/>
      <c r="H251" s="13">
        <v>1500.0</v>
      </c>
      <c r="I251" s="2">
        <v>1.0</v>
      </c>
      <c r="K251" s="10">
        <f t="shared" si="7"/>
        <v>1</v>
      </c>
      <c r="L251" s="12">
        <f t="shared" si="2"/>
        <v>1500</v>
      </c>
      <c r="M251" s="12">
        <f t="shared" si="6"/>
        <v>0</v>
      </c>
      <c r="N251" s="12">
        <f t="shared" si="4"/>
        <v>0</v>
      </c>
      <c r="O251" s="12">
        <f t="shared" si="5"/>
        <v>0</v>
      </c>
      <c r="AI251" s="8" t="s">
        <v>628</v>
      </c>
    </row>
    <row r="252" ht="15.75" customHeight="1">
      <c r="A252" s="2">
        <v>6.9180207501E10</v>
      </c>
      <c r="B252" s="2" t="s">
        <v>629</v>
      </c>
      <c r="D252" s="2" t="s">
        <v>54</v>
      </c>
      <c r="E252" s="2" t="s">
        <v>84</v>
      </c>
      <c r="F252" s="11"/>
      <c r="G252" s="12"/>
      <c r="H252" s="13">
        <v>7000.0</v>
      </c>
      <c r="I252" s="2">
        <v>6.0</v>
      </c>
      <c r="K252" s="10">
        <f t="shared" si="7"/>
        <v>6</v>
      </c>
      <c r="L252" s="12">
        <f t="shared" si="2"/>
        <v>42000</v>
      </c>
      <c r="M252" s="12">
        <f t="shared" si="6"/>
        <v>0</v>
      </c>
      <c r="N252" s="12">
        <f t="shared" si="4"/>
        <v>0</v>
      </c>
      <c r="O252" s="12">
        <f t="shared" si="5"/>
        <v>0</v>
      </c>
      <c r="AI252" s="8" t="s">
        <v>630</v>
      </c>
    </row>
    <row r="253" ht="15.75" customHeight="1">
      <c r="A253" s="2">
        <v>6.9180204301E10</v>
      </c>
      <c r="B253" s="2" t="s">
        <v>631</v>
      </c>
      <c r="D253" s="2" t="s">
        <v>54</v>
      </c>
      <c r="E253" s="2" t="s">
        <v>84</v>
      </c>
      <c r="F253" s="11"/>
      <c r="G253" s="12"/>
      <c r="H253" s="13">
        <v>20000.0</v>
      </c>
      <c r="I253" s="2">
        <v>10.0</v>
      </c>
      <c r="K253" s="10">
        <f t="shared" si="7"/>
        <v>10</v>
      </c>
      <c r="L253" s="12">
        <f t="shared" si="2"/>
        <v>200000</v>
      </c>
      <c r="M253" s="12">
        <f t="shared" si="6"/>
        <v>0</v>
      </c>
      <c r="N253" s="12">
        <f t="shared" si="4"/>
        <v>0</v>
      </c>
      <c r="O253" s="12">
        <f t="shared" si="5"/>
        <v>0</v>
      </c>
      <c r="AI253" s="8" t="s">
        <v>632</v>
      </c>
    </row>
    <row r="254" ht="15.75" customHeight="1">
      <c r="A254" s="2">
        <v>6.31802076E8</v>
      </c>
      <c r="B254" s="2" t="s">
        <v>633</v>
      </c>
      <c r="D254" s="2" t="s">
        <v>78</v>
      </c>
      <c r="E254" s="2" t="s">
        <v>84</v>
      </c>
      <c r="F254" s="11"/>
      <c r="G254" s="12"/>
      <c r="H254" s="13">
        <v>20000.0</v>
      </c>
      <c r="I254" s="2">
        <v>6.0</v>
      </c>
      <c r="K254" s="10">
        <f t="shared" si="7"/>
        <v>6</v>
      </c>
      <c r="L254" s="12">
        <f t="shared" si="2"/>
        <v>120000</v>
      </c>
      <c r="M254" s="12">
        <f t="shared" si="6"/>
        <v>0</v>
      </c>
      <c r="N254" s="12">
        <f t="shared" si="4"/>
        <v>0</v>
      </c>
      <c r="O254" s="12">
        <f t="shared" si="5"/>
        <v>0</v>
      </c>
      <c r="AI254" s="8" t="s">
        <v>634</v>
      </c>
    </row>
    <row r="255" ht="15.75" customHeight="1">
      <c r="A255" s="2">
        <v>3.1512407191E10</v>
      </c>
      <c r="B255" s="2" t="s">
        <v>635</v>
      </c>
      <c r="D255" s="2" t="s">
        <v>54</v>
      </c>
      <c r="E255" s="2" t="s">
        <v>84</v>
      </c>
      <c r="F255" s="11"/>
      <c r="G255" s="12"/>
      <c r="H255" s="13">
        <v>10000.0</v>
      </c>
      <c r="I255" s="2">
        <v>45.0</v>
      </c>
      <c r="K255" s="10">
        <f t="shared" si="7"/>
        <v>45</v>
      </c>
      <c r="L255" s="12">
        <f t="shared" si="2"/>
        <v>450000</v>
      </c>
      <c r="M255" s="12">
        <f t="shared" si="6"/>
        <v>0</v>
      </c>
      <c r="N255" s="12">
        <f t="shared" si="4"/>
        <v>0</v>
      </c>
      <c r="O255" s="12">
        <f t="shared" si="5"/>
        <v>0</v>
      </c>
      <c r="AI255" s="8" t="s">
        <v>636</v>
      </c>
    </row>
    <row r="256" ht="15.75" customHeight="1">
      <c r="B256" s="2" t="s">
        <v>637</v>
      </c>
      <c r="D256" s="2" t="s">
        <v>86</v>
      </c>
      <c r="E256" s="2" t="s">
        <v>84</v>
      </c>
      <c r="F256" s="11"/>
      <c r="G256" s="12"/>
      <c r="H256" s="13">
        <v>1000.0</v>
      </c>
      <c r="I256" s="2">
        <v>11.0</v>
      </c>
      <c r="K256" s="10">
        <f t="shared" si="7"/>
        <v>11</v>
      </c>
      <c r="L256" s="12">
        <f t="shared" si="2"/>
        <v>11000</v>
      </c>
      <c r="M256" s="12" t="str">
        <f t="shared" si="6"/>
        <v/>
      </c>
      <c r="N256" s="12" t="str">
        <f t="shared" si="4"/>
        <v/>
      </c>
      <c r="O256" s="12" t="str">
        <f t="shared" si="5"/>
        <v/>
      </c>
      <c r="AI256" s="8" t="s">
        <v>638</v>
      </c>
    </row>
    <row r="257" ht="15.75" customHeight="1">
      <c r="A257" s="2">
        <v>3.15120230440003E14</v>
      </c>
      <c r="B257" s="2" t="s">
        <v>639</v>
      </c>
      <c r="D257" s="2" t="s">
        <v>54</v>
      </c>
      <c r="E257" s="2" t="s">
        <v>84</v>
      </c>
      <c r="F257" s="11"/>
      <c r="G257" s="12"/>
      <c r="H257" s="13">
        <v>20000.0</v>
      </c>
      <c r="I257" s="2">
        <v>2.0</v>
      </c>
      <c r="K257" s="10">
        <f t="shared" si="7"/>
        <v>2</v>
      </c>
      <c r="L257" s="12">
        <f t="shared" si="2"/>
        <v>40000</v>
      </c>
      <c r="M257" s="12">
        <f t="shared" si="6"/>
        <v>0</v>
      </c>
      <c r="N257" s="12">
        <f t="shared" si="4"/>
        <v>0</v>
      </c>
      <c r="O257" s="12">
        <f t="shared" si="5"/>
        <v>0</v>
      </c>
      <c r="AI257" s="8" t="s">
        <v>640</v>
      </c>
    </row>
    <row r="258" ht="15.75" customHeight="1">
      <c r="A258" s="2">
        <v>3.15120230440001E14</v>
      </c>
      <c r="B258" s="2" t="s">
        <v>641</v>
      </c>
      <c r="D258" s="2" t="s">
        <v>54</v>
      </c>
      <c r="E258" s="2" t="s">
        <v>84</v>
      </c>
      <c r="F258" s="11"/>
      <c r="G258" s="12"/>
      <c r="H258" s="13">
        <v>50000.0</v>
      </c>
      <c r="I258" s="2">
        <v>1.0</v>
      </c>
      <c r="K258" s="10">
        <f t="shared" si="7"/>
        <v>1</v>
      </c>
      <c r="L258" s="12">
        <f t="shared" si="2"/>
        <v>50000</v>
      </c>
      <c r="M258" s="12">
        <f t="shared" si="6"/>
        <v>0</v>
      </c>
      <c r="N258" s="12">
        <f t="shared" si="4"/>
        <v>0</v>
      </c>
      <c r="O258" s="12">
        <f t="shared" si="5"/>
        <v>0</v>
      </c>
      <c r="AI258" s="8" t="s">
        <v>642</v>
      </c>
    </row>
    <row r="259" ht="15.75" customHeight="1">
      <c r="B259" s="2" t="s">
        <v>643</v>
      </c>
      <c r="D259" s="2" t="s">
        <v>54</v>
      </c>
      <c r="E259" s="2" t="s">
        <v>84</v>
      </c>
      <c r="F259" s="11"/>
      <c r="G259" s="12"/>
      <c r="H259" s="13">
        <v>40000.0</v>
      </c>
      <c r="I259" s="2">
        <v>4.0</v>
      </c>
      <c r="K259" s="10">
        <f t="shared" si="7"/>
        <v>4</v>
      </c>
      <c r="L259" s="12">
        <f t="shared" si="2"/>
        <v>160000</v>
      </c>
      <c r="M259" s="12" t="str">
        <f t="shared" si="6"/>
        <v/>
      </c>
      <c r="N259" s="12" t="str">
        <f t="shared" si="4"/>
        <v/>
      </c>
      <c r="O259" s="12" t="str">
        <f t="shared" si="5"/>
        <v/>
      </c>
      <c r="AI259" s="8" t="s">
        <v>644</v>
      </c>
    </row>
    <row r="260" ht="15.75" customHeight="1">
      <c r="A260" s="2">
        <v>6.900230408E12</v>
      </c>
      <c r="B260" s="2" t="s">
        <v>645</v>
      </c>
      <c r="D260" s="2" t="s">
        <v>54</v>
      </c>
      <c r="E260" s="2" t="s">
        <v>84</v>
      </c>
      <c r="F260" s="11"/>
      <c r="G260" s="12"/>
      <c r="H260" s="13">
        <v>30000.0</v>
      </c>
      <c r="I260" s="2">
        <v>6.0</v>
      </c>
      <c r="K260" s="10">
        <f t="shared" si="7"/>
        <v>6</v>
      </c>
      <c r="L260" s="12">
        <f t="shared" si="2"/>
        <v>180000</v>
      </c>
      <c r="M260" s="12">
        <f t="shared" si="6"/>
        <v>0</v>
      </c>
      <c r="N260" s="12">
        <f t="shared" si="4"/>
        <v>0</v>
      </c>
      <c r="O260" s="12">
        <f t="shared" si="5"/>
        <v>0</v>
      </c>
      <c r="AI260" s="8" t="s">
        <v>646</v>
      </c>
    </row>
    <row r="261" ht="15.75" customHeight="1">
      <c r="B261" s="2" t="s">
        <v>647</v>
      </c>
      <c r="D261" s="2" t="s">
        <v>93</v>
      </c>
      <c r="E261" s="2" t="s">
        <v>84</v>
      </c>
      <c r="F261" s="11"/>
      <c r="G261" s="12"/>
      <c r="H261" s="13">
        <v>10000.0</v>
      </c>
      <c r="I261" s="2">
        <v>50.0</v>
      </c>
      <c r="K261" s="10">
        <f t="shared" si="7"/>
        <v>50</v>
      </c>
      <c r="L261" s="12">
        <f t="shared" si="2"/>
        <v>500000</v>
      </c>
      <c r="M261" s="12" t="str">
        <f t="shared" si="6"/>
        <v/>
      </c>
      <c r="N261" s="12" t="str">
        <f t="shared" si="4"/>
        <v/>
      </c>
      <c r="O261" s="12" t="str">
        <f t="shared" si="5"/>
        <v/>
      </c>
      <c r="AI261" s="8" t="s">
        <v>648</v>
      </c>
    </row>
    <row r="262" ht="15.75" customHeight="1">
      <c r="A262" s="2">
        <v>6.92401055E8</v>
      </c>
      <c r="B262" s="2" t="s">
        <v>649</v>
      </c>
      <c r="D262" s="2" t="s">
        <v>54</v>
      </c>
      <c r="E262" s="2" t="s">
        <v>84</v>
      </c>
      <c r="F262" s="11"/>
      <c r="G262" s="12"/>
      <c r="H262" s="13">
        <v>300.0</v>
      </c>
      <c r="I262" s="2">
        <v>4.0</v>
      </c>
      <c r="K262" s="10">
        <f t="shared" si="7"/>
        <v>4</v>
      </c>
      <c r="L262" s="12">
        <f t="shared" si="2"/>
        <v>1200</v>
      </c>
      <c r="M262" s="12">
        <f t="shared" si="6"/>
        <v>0</v>
      </c>
      <c r="N262" s="12">
        <f t="shared" si="4"/>
        <v>0</v>
      </c>
      <c r="O262" s="12">
        <f t="shared" si="5"/>
        <v>0</v>
      </c>
      <c r="AI262" s="8" t="s">
        <v>650</v>
      </c>
    </row>
    <row r="263" ht="15.75" customHeight="1">
      <c r="A263" s="2">
        <v>6.1121168E7</v>
      </c>
      <c r="B263" s="2" t="s">
        <v>651</v>
      </c>
      <c r="D263" s="2" t="s">
        <v>54</v>
      </c>
      <c r="E263" s="2" t="s">
        <v>84</v>
      </c>
      <c r="F263" s="11"/>
      <c r="G263" s="12"/>
      <c r="H263" s="13">
        <v>500.0</v>
      </c>
      <c r="I263" s="2">
        <v>5.0</v>
      </c>
      <c r="K263" s="10">
        <f t="shared" si="7"/>
        <v>5</v>
      </c>
      <c r="L263" s="12">
        <f t="shared" si="2"/>
        <v>2500</v>
      </c>
      <c r="M263" s="12">
        <f t="shared" si="6"/>
        <v>0</v>
      </c>
      <c r="N263" s="12">
        <f t="shared" si="4"/>
        <v>0</v>
      </c>
      <c r="O263" s="12">
        <f t="shared" si="5"/>
        <v>0</v>
      </c>
      <c r="AI263" s="8" t="s">
        <v>652</v>
      </c>
    </row>
    <row r="264" ht="15.75" customHeight="1">
      <c r="A264" s="2">
        <v>6.10001211682E13</v>
      </c>
      <c r="B264" s="2" t="s">
        <v>653</v>
      </c>
      <c r="D264" s="2" t="s">
        <v>54</v>
      </c>
      <c r="E264" s="2" t="s">
        <v>84</v>
      </c>
      <c r="F264" s="11"/>
      <c r="G264" s="12"/>
      <c r="H264" s="13">
        <v>300.0</v>
      </c>
      <c r="I264" s="2">
        <v>5.0</v>
      </c>
      <c r="K264" s="10">
        <f t="shared" si="7"/>
        <v>5</v>
      </c>
      <c r="L264" s="12">
        <f t="shared" si="2"/>
        <v>1500</v>
      </c>
      <c r="M264" s="12">
        <f t="shared" si="6"/>
        <v>0</v>
      </c>
      <c r="N264" s="12">
        <f t="shared" si="4"/>
        <v>0</v>
      </c>
      <c r="O264" s="12">
        <f t="shared" si="5"/>
        <v>0</v>
      </c>
      <c r="AI264" s="8" t="s">
        <v>654</v>
      </c>
    </row>
    <row r="265" ht="15.75" customHeight="1">
      <c r="B265" s="2" t="s">
        <v>655</v>
      </c>
      <c r="D265" s="2" t="s">
        <v>54</v>
      </c>
      <c r="E265" s="2" t="s">
        <v>84</v>
      </c>
      <c r="F265" s="11"/>
      <c r="G265" s="12"/>
      <c r="H265" s="13">
        <v>10000.0</v>
      </c>
      <c r="I265" s="2">
        <v>1.0</v>
      </c>
      <c r="K265" s="10">
        <f t="shared" si="7"/>
        <v>1</v>
      </c>
      <c r="L265" s="12">
        <f t="shared" si="2"/>
        <v>10000</v>
      </c>
      <c r="M265" s="12" t="str">
        <f t="shared" si="6"/>
        <v/>
      </c>
      <c r="N265" s="12" t="str">
        <f t="shared" si="4"/>
        <v/>
      </c>
      <c r="O265" s="12" t="str">
        <f t="shared" si="5"/>
        <v/>
      </c>
      <c r="AI265" s="8" t="s">
        <v>656</v>
      </c>
    </row>
    <row r="266" ht="15.75" customHeight="1">
      <c r="B266" s="2" t="s">
        <v>657</v>
      </c>
      <c r="D266" s="2" t="s">
        <v>54</v>
      </c>
      <c r="E266" s="2" t="s">
        <v>84</v>
      </c>
      <c r="F266" s="11"/>
      <c r="G266" s="12"/>
      <c r="H266" s="13">
        <v>50000.0</v>
      </c>
      <c r="I266" s="2">
        <v>5.0</v>
      </c>
      <c r="K266" s="10">
        <f t="shared" si="7"/>
        <v>5</v>
      </c>
      <c r="L266" s="12">
        <f t="shared" si="2"/>
        <v>250000</v>
      </c>
      <c r="M266" s="12" t="str">
        <f t="shared" si="6"/>
        <v/>
      </c>
      <c r="N266" s="12" t="str">
        <f t="shared" si="4"/>
        <v/>
      </c>
      <c r="O266" s="12" t="str">
        <f t="shared" si="5"/>
        <v/>
      </c>
      <c r="AI266" s="8" t="s">
        <v>658</v>
      </c>
    </row>
    <row r="267" ht="15.75" customHeight="1">
      <c r="A267" s="2">
        <v>4.51501701112E13</v>
      </c>
      <c r="B267" s="2" t="s">
        <v>659</v>
      </c>
      <c r="D267" s="2" t="s">
        <v>54</v>
      </c>
      <c r="E267" s="2" t="s">
        <v>84</v>
      </c>
      <c r="F267" s="11"/>
      <c r="G267" s="12"/>
      <c r="H267" s="13">
        <v>8000.0</v>
      </c>
      <c r="I267" s="2">
        <v>2.0</v>
      </c>
      <c r="K267" s="10">
        <f t="shared" si="7"/>
        <v>2</v>
      </c>
      <c r="L267" s="12">
        <f t="shared" si="2"/>
        <v>16000</v>
      </c>
      <c r="M267" s="12">
        <f t="shared" si="6"/>
        <v>0</v>
      </c>
      <c r="N267" s="12">
        <f t="shared" si="4"/>
        <v>0</v>
      </c>
      <c r="O267" s="12">
        <f t="shared" si="5"/>
        <v>0</v>
      </c>
      <c r="AI267" s="8" t="s">
        <v>660</v>
      </c>
    </row>
    <row r="268" ht="15.75" customHeight="1">
      <c r="A268" s="2">
        <v>4.691701127E9</v>
      </c>
      <c r="B268" s="2" t="s">
        <v>661</v>
      </c>
      <c r="D268" s="2" t="s">
        <v>54</v>
      </c>
      <c r="E268" s="2" t="s">
        <v>84</v>
      </c>
      <c r="F268" s="11"/>
      <c r="G268" s="12"/>
      <c r="H268" s="13">
        <v>15000.0</v>
      </c>
      <c r="I268" s="2">
        <v>4.0</v>
      </c>
      <c r="K268" s="10">
        <f t="shared" si="7"/>
        <v>4</v>
      </c>
      <c r="L268" s="12">
        <f t="shared" si="2"/>
        <v>60000</v>
      </c>
      <c r="M268" s="12">
        <f t="shared" si="6"/>
        <v>0</v>
      </c>
      <c r="N268" s="12">
        <f t="shared" si="4"/>
        <v>0</v>
      </c>
      <c r="O268" s="12">
        <f t="shared" si="5"/>
        <v>0</v>
      </c>
      <c r="AI268" s="8" t="s">
        <v>662</v>
      </c>
    </row>
    <row r="269" ht="15.75" customHeight="1">
      <c r="A269" s="2">
        <v>4.5150170112611E13</v>
      </c>
      <c r="B269" s="2" t="s">
        <v>663</v>
      </c>
      <c r="D269" s="2" t="s">
        <v>54</v>
      </c>
      <c r="E269" s="2" t="s">
        <v>84</v>
      </c>
      <c r="F269" s="11"/>
      <c r="G269" s="12"/>
      <c r="H269" s="13">
        <v>8000.0</v>
      </c>
      <c r="I269" s="2">
        <v>2.0</v>
      </c>
      <c r="K269" s="10">
        <f t="shared" si="7"/>
        <v>2</v>
      </c>
      <c r="L269" s="12">
        <f t="shared" si="2"/>
        <v>16000</v>
      </c>
      <c r="M269" s="12">
        <f t="shared" si="6"/>
        <v>0</v>
      </c>
      <c r="N269" s="12">
        <f t="shared" si="4"/>
        <v>0</v>
      </c>
      <c r="O269" s="12">
        <f t="shared" si="5"/>
        <v>0</v>
      </c>
      <c r="AI269" s="8" t="s">
        <v>664</v>
      </c>
    </row>
    <row r="270" ht="15.75" customHeight="1">
      <c r="A270" s="2">
        <v>5.21701113E8</v>
      </c>
      <c r="B270" s="2" t="s">
        <v>665</v>
      </c>
      <c r="D270" s="2" t="s">
        <v>86</v>
      </c>
      <c r="E270" s="2" t="s">
        <v>84</v>
      </c>
      <c r="F270" s="11"/>
      <c r="G270" s="12"/>
      <c r="H270" s="13">
        <v>15000.0</v>
      </c>
      <c r="I270" s="2">
        <v>4.0</v>
      </c>
      <c r="K270" s="10">
        <f t="shared" si="7"/>
        <v>4</v>
      </c>
      <c r="L270" s="12">
        <f t="shared" si="2"/>
        <v>60000</v>
      </c>
      <c r="M270" s="12">
        <f t="shared" si="6"/>
        <v>0</v>
      </c>
      <c r="N270" s="12">
        <f t="shared" si="4"/>
        <v>0</v>
      </c>
      <c r="O270" s="12">
        <f t="shared" si="5"/>
        <v>0</v>
      </c>
      <c r="AI270" s="8" t="s">
        <v>666</v>
      </c>
    </row>
    <row r="271" ht="15.75" customHeight="1">
      <c r="A271" s="2">
        <v>3.16200180204E14</v>
      </c>
      <c r="B271" s="2" t="s">
        <v>667</v>
      </c>
      <c r="D271" s="2" t="s">
        <v>54</v>
      </c>
      <c r="E271" s="2" t="s">
        <v>84</v>
      </c>
      <c r="F271" s="11"/>
      <c r="G271" s="12"/>
      <c r="H271" s="13">
        <v>15000.0</v>
      </c>
      <c r="I271" s="2">
        <v>3.0</v>
      </c>
      <c r="K271" s="10">
        <f t="shared" si="7"/>
        <v>3</v>
      </c>
      <c r="L271" s="12">
        <f t="shared" si="2"/>
        <v>45000</v>
      </c>
      <c r="M271" s="12">
        <f t="shared" si="6"/>
        <v>0</v>
      </c>
      <c r="N271" s="12">
        <f t="shared" si="4"/>
        <v>0</v>
      </c>
      <c r="O271" s="12">
        <f t="shared" si="5"/>
        <v>0</v>
      </c>
      <c r="AI271" s="8" t="s">
        <v>668</v>
      </c>
    </row>
    <row r="272" ht="15.75" customHeight="1">
      <c r="A272" s="2">
        <v>5.21701111E8</v>
      </c>
      <c r="B272" s="2" t="s">
        <v>669</v>
      </c>
      <c r="D272" s="2" t="s">
        <v>78</v>
      </c>
      <c r="E272" s="2" t="s">
        <v>84</v>
      </c>
      <c r="F272" s="11"/>
      <c r="G272" s="12"/>
      <c r="H272" s="13">
        <v>20000.0</v>
      </c>
      <c r="I272" s="2">
        <v>2.0</v>
      </c>
      <c r="K272" s="10">
        <f t="shared" si="7"/>
        <v>2</v>
      </c>
      <c r="L272" s="12">
        <f t="shared" si="2"/>
        <v>40000</v>
      </c>
      <c r="M272" s="12">
        <f t="shared" si="6"/>
        <v>0</v>
      </c>
      <c r="N272" s="12">
        <f t="shared" si="4"/>
        <v>0</v>
      </c>
      <c r="O272" s="12">
        <f t="shared" si="5"/>
        <v>0</v>
      </c>
      <c r="AI272" s="8" t="s">
        <v>670</v>
      </c>
    </row>
    <row r="273" ht="15.75" customHeight="1">
      <c r="A273" s="2">
        <v>5.21701111E8</v>
      </c>
      <c r="B273" s="2" t="s">
        <v>671</v>
      </c>
      <c r="D273" s="2" t="s">
        <v>86</v>
      </c>
      <c r="E273" s="2" t="s">
        <v>84</v>
      </c>
      <c r="F273" s="11"/>
      <c r="G273" s="12"/>
      <c r="H273" s="13">
        <v>25000.0</v>
      </c>
      <c r="I273" s="2">
        <v>3.0</v>
      </c>
      <c r="K273" s="10">
        <f t="shared" si="7"/>
        <v>3</v>
      </c>
      <c r="L273" s="12">
        <f t="shared" si="2"/>
        <v>75000</v>
      </c>
      <c r="M273" s="12">
        <f t="shared" si="6"/>
        <v>0</v>
      </c>
      <c r="N273" s="12">
        <f t="shared" si="4"/>
        <v>0</v>
      </c>
      <c r="O273" s="12">
        <f t="shared" si="5"/>
        <v>0</v>
      </c>
      <c r="AI273" s="8" t="s">
        <v>672</v>
      </c>
    </row>
    <row r="274" ht="15.75" customHeight="1">
      <c r="A274" s="2">
        <v>4.691701126E9</v>
      </c>
      <c r="B274" s="2" t="s">
        <v>671</v>
      </c>
      <c r="D274" s="2" t="s">
        <v>54</v>
      </c>
      <c r="E274" s="2" t="s">
        <v>84</v>
      </c>
      <c r="F274" s="11"/>
      <c r="G274" s="12"/>
      <c r="H274" s="13">
        <v>15000.0</v>
      </c>
      <c r="I274" s="2">
        <v>3.0</v>
      </c>
      <c r="K274" s="10">
        <f t="shared" si="7"/>
        <v>3</v>
      </c>
      <c r="L274" s="12">
        <f t="shared" si="2"/>
        <v>45000</v>
      </c>
      <c r="M274" s="12">
        <f t="shared" si="6"/>
        <v>0</v>
      </c>
      <c r="N274" s="12">
        <f t="shared" si="4"/>
        <v>0</v>
      </c>
      <c r="O274" s="12">
        <f t="shared" si="5"/>
        <v>0</v>
      </c>
      <c r="AI274" s="8" t="s">
        <v>673</v>
      </c>
    </row>
    <row r="275" ht="15.75" customHeight="1">
      <c r="A275" s="2">
        <v>4.69170108E9</v>
      </c>
      <c r="B275" s="2" t="s">
        <v>674</v>
      </c>
      <c r="D275" s="2" t="s">
        <v>54</v>
      </c>
      <c r="E275" s="2" t="s">
        <v>84</v>
      </c>
      <c r="F275" s="11"/>
      <c r="G275" s="12"/>
      <c r="H275" s="13">
        <v>15000.0</v>
      </c>
      <c r="I275" s="2">
        <v>2.0</v>
      </c>
      <c r="K275" s="10">
        <f t="shared" si="7"/>
        <v>2</v>
      </c>
      <c r="L275" s="12">
        <f t="shared" si="2"/>
        <v>30000</v>
      </c>
      <c r="M275" s="12">
        <f t="shared" si="6"/>
        <v>0</v>
      </c>
      <c r="N275" s="12">
        <f t="shared" si="4"/>
        <v>0</v>
      </c>
      <c r="O275" s="12">
        <f t="shared" si="5"/>
        <v>0</v>
      </c>
      <c r="AI275" s="8" t="s">
        <v>675</v>
      </c>
    </row>
    <row r="276" ht="15.75" customHeight="1">
      <c r="A276" s="2">
        <v>4.171005185E9</v>
      </c>
      <c r="B276" s="2" t="s">
        <v>676</v>
      </c>
      <c r="D276" s="2" t="s">
        <v>135</v>
      </c>
      <c r="E276" s="2" t="s">
        <v>79</v>
      </c>
      <c r="F276" s="11"/>
      <c r="G276" s="12"/>
      <c r="H276" s="13">
        <v>12000.0</v>
      </c>
      <c r="I276" s="2">
        <v>1.0</v>
      </c>
      <c r="K276" s="10">
        <f t="shared" si="7"/>
        <v>1</v>
      </c>
      <c r="L276" s="12">
        <f t="shared" si="2"/>
        <v>12000</v>
      </c>
      <c r="M276" s="12">
        <f t="shared" si="6"/>
        <v>0</v>
      </c>
      <c r="N276" s="12">
        <f t="shared" si="4"/>
        <v>0</v>
      </c>
      <c r="O276" s="12">
        <f t="shared" si="5"/>
        <v>0</v>
      </c>
      <c r="AI276" s="8" t="s">
        <v>677</v>
      </c>
    </row>
    <row r="277" ht="15.75" customHeight="1">
      <c r="A277" s="2">
        <v>1.30100503E9</v>
      </c>
      <c r="B277" s="2" t="s">
        <v>676</v>
      </c>
      <c r="D277" s="2" t="s">
        <v>678</v>
      </c>
      <c r="E277" s="2" t="s">
        <v>79</v>
      </c>
      <c r="F277" s="11"/>
      <c r="G277" s="12"/>
      <c r="H277" s="13">
        <v>12000.0</v>
      </c>
      <c r="I277" s="2">
        <v>2.0</v>
      </c>
      <c r="K277" s="10">
        <f t="shared" si="7"/>
        <v>2</v>
      </c>
      <c r="L277" s="12">
        <f t="shared" si="2"/>
        <v>24000</v>
      </c>
      <c r="M277" s="12">
        <f t="shared" si="6"/>
        <v>0</v>
      </c>
      <c r="N277" s="12">
        <f t="shared" si="4"/>
        <v>0</v>
      </c>
      <c r="O277" s="12">
        <f t="shared" si="5"/>
        <v>0</v>
      </c>
      <c r="AI277" s="8" t="s">
        <v>679</v>
      </c>
    </row>
    <row r="278" ht="15.75" customHeight="1">
      <c r="A278" s="2">
        <v>5.2170111031E10</v>
      </c>
      <c r="B278" s="2" t="s">
        <v>680</v>
      </c>
      <c r="D278" s="2" t="s">
        <v>78</v>
      </c>
      <c r="E278" s="2" t="s">
        <v>84</v>
      </c>
      <c r="F278" s="11"/>
      <c r="G278" s="12"/>
      <c r="H278" s="13">
        <v>20000.0</v>
      </c>
      <c r="I278" s="2">
        <v>3.0</v>
      </c>
      <c r="K278" s="10">
        <f t="shared" si="7"/>
        <v>3</v>
      </c>
      <c r="L278" s="12">
        <f t="shared" si="2"/>
        <v>60000</v>
      </c>
      <c r="M278" s="12">
        <f t="shared" si="6"/>
        <v>0</v>
      </c>
      <c r="N278" s="12">
        <f t="shared" si="4"/>
        <v>0</v>
      </c>
      <c r="O278" s="12">
        <f t="shared" si="5"/>
        <v>0</v>
      </c>
      <c r="AI278" s="8" t="s">
        <v>681</v>
      </c>
    </row>
    <row r="279" ht="15.75" customHeight="1">
      <c r="A279" s="2">
        <v>5.2170111E8</v>
      </c>
      <c r="B279" s="2" t="s">
        <v>680</v>
      </c>
      <c r="D279" s="2" t="s">
        <v>86</v>
      </c>
      <c r="E279" s="2" t="s">
        <v>84</v>
      </c>
      <c r="F279" s="11"/>
      <c r="G279" s="12"/>
      <c r="H279" s="13">
        <v>25000.0</v>
      </c>
      <c r="I279" s="2">
        <v>1.0</v>
      </c>
      <c r="K279" s="10">
        <f t="shared" si="7"/>
        <v>1</v>
      </c>
      <c r="L279" s="12">
        <f t="shared" si="2"/>
        <v>25000</v>
      </c>
      <c r="M279" s="12">
        <f t="shared" si="6"/>
        <v>0</v>
      </c>
      <c r="N279" s="12">
        <f t="shared" si="4"/>
        <v>0</v>
      </c>
      <c r="O279" s="12">
        <f t="shared" si="5"/>
        <v>0</v>
      </c>
      <c r="AI279" s="8" t="s">
        <v>682</v>
      </c>
    </row>
    <row r="280" ht="15.75" customHeight="1">
      <c r="A280" s="2">
        <v>3.741003802034E14</v>
      </c>
      <c r="B280" s="2" t="s">
        <v>683</v>
      </c>
      <c r="D280" s="2" t="s">
        <v>93</v>
      </c>
      <c r="E280" s="2" t="s">
        <v>82</v>
      </c>
      <c r="F280" s="11"/>
      <c r="G280" s="12"/>
      <c r="H280" s="13">
        <v>7000.0</v>
      </c>
      <c r="I280" s="2">
        <v>5.0</v>
      </c>
      <c r="K280" s="10">
        <f t="shared" si="7"/>
        <v>5</v>
      </c>
      <c r="L280" s="12">
        <f t="shared" si="2"/>
        <v>35000</v>
      </c>
      <c r="M280" s="12">
        <f t="shared" si="6"/>
        <v>0</v>
      </c>
      <c r="N280" s="12">
        <f t="shared" si="4"/>
        <v>0</v>
      </c>
      <c r="O280" s="12">
        <f t="shared" si="5"/>
        <v>0</v>
      </c>
      <c r="AI280" s="8" t="s">
        <v>684</v>
      </c>
    </row>
    <row r="281" ht="15.75" customHeight="1">
      <c r="A281" s="2">
        <v>3.3073802034E10</v>
      </c>
      <c r="B281" s="2" t="s">
        <v>685</v>
      </c>
      <c r="D281" s="2" t="s">
        <v>78</v>
      </c>
      <c r="E281" s="2" t="s">
        <v>82</v>
      </c>
      <c r="F281" s="11"/>
      <c r="G281" s="12"/>
      <c r="H281" s="13">
        <v>10000.0</v>
      </c>
      <c r="I281" s="2">
        <v>5.0</v>
      </c>
      <c r="K281" s="10">
        <f t="shared" si="7"/>
        <v>5</v>
      </c>
      <c r="L281" s="12">
        <f t="shared" si="2"/>
        <v>50000</v>
      </c>
      <c r="M281" s="12">
        <f t="shared" si="6"/>
        <v>0</v>
      </c>
      <c r="N281" s="12">
        <f t="shared" si="4"/>
        <v>0</v>
      </c>
      <c r="O281" s="12">
        <f t="shared" si="5"/>
        <v>0</v>
      </c>
      <c r="AI281" s="8" t="s">
        <v>686</v>
      </c>
    </row>
    <row r="282" ht="15.75" customHeight="1">
      <c r="A282" s="2">
        <v>3.102901701128E12</v>
      </c>
      <c r="B282" s="2" t="s">
        <v>687</v>
      </c>
      <c r="D282" s="2" t="s">
        <v>78</v>
      </c>
      <c r="E282" s="2" t="s">
        <v>84</v>
      </c>
      <c r="F282" s="11"/>
      <c r="G282" s="12"/>
      <c r="H282" s="13">
        <v>10000.0</v>
      </c>
      <c r="I282" s="2">
        <v>2.0</v>
      </c>
      <c r="K282" s="10">
        <f t="shared" si="7"/>
        <v>2</v>
      </c>
      <c r="L282" s="12">
        <f t="shared" si="2"/>
        <v>20000</v>
      </c>
      <c r="M282" s="12">
        <f t="shared" si="6"/>
        <v>0</v>
      </c>
      <c r="N282" s="12">
        <f t="shared" si="4"/>
        <v>0</v>
      </c>
      <c r="O282" s="12">
        <f t="shared" si="5"/>
        <v>0</v>
      </c>
      <c r="AI282" s="8" t="s">
        <v>688</v>
      </c>
    </row>
    <row r="283" ht="15.75" customHeight="1">
      <c r="B283" s="2" t="s">
        <v>689</v>
      </c>
      <c r="D283" s="2" t="s">
        <v>88</v>
      </c>
      <c r="E283" s="2" t="s">
        <v>79</v>
      </c>
      <c r="F283" s="11"/>
      <c r="G283" s="12"/>
      <c r="H283" s="13">
        <v>7000.0</v>
      </c>
      <c r="I283" s="2">
        <v>11.0</v>
      </c>
      <c r="K283" s="10">
        <f t="shared" si="7"/>
        <v>11</v>
      </c>
      <c r="L283" s="12">
        <f t="shared" si="2"/>
        <v>77000</v>
      </c>
      <c r="M283" s="12" t="str">
        <f t="shared" si="6"/>
        <v/>
      </c>
      <c r="N283" s="12" t="str">
        <f t="shared" si="4"/>
        <v/>
      </c>
      <c r="O283" s="12" t="str">
        <f t="shared" si="5"/>
        <v/>
      </c>
      <c r="AI283" s="8" t="s">
        <v>690</v>
      </c>
    </row>
    <row r="284" ht="15.75" customHeight="1">
      <c r="B284" s="2" t="s">
        <v>691</v>
      </c>
      <c r="D284" s="2" t="s">
        <v>88</v>
      </c>
      <c r="E284" s="2" t="s">
        <v>79</v>
      </c>
      <c r="F284" s="11"/>
      <c r="G284" s="12"/>
      <c r="H284" s="13">
        <v>8000.0</v>
      </c>
      <c r="I284" s="2">
        <v>2.0</v>
      </c>
      <c r="K284" s="10">
        <f t="shared" si="7"/>
        <v>2</v>
      </c>
      <c r="L284" s="12">
        <f t="shared" si="2"/>
        <v>16000</v>
      </c>
      <c r="M284" s="12" t="str">
        <f t="shared" si="6"/>
        <v/>
      </c>
      <c r="N284" s="12" t="str">
        <f t="shared" si="4"/>
        <v/>
      </c>
      <c r="O284" s="12" t="str">
        <f t="shared" si="5"/>
        <v/>
      </c>
      <c r="AI284" s="8" t="s">
        <v>692</v>
      </c>
    </row>
    <row r="285" ht="15.75" customHeight="1">
      <c r="B285" s="2" t="s">
        <v>693</v>
      </c>
      <c r="D285" s="2" t="s">
        <v>88</v>
      </c>
      <c r="E285" s="2" t="s">
        <v>82</v>
      </c>
      <c r="F285" s="11"/>
      <c r="G285" s="12"/>
      <c r="H285" s="13">
        <v>300.0</v>
      </c>
      <c r="I285" s="2">
        <v>18.0</v>
      </c>
      <c r="K285" s="10">
        <f t="shared" si="7"/>
        <v>18</v>
      </c>
      <c r="L285" s="12">
        <f t="shared" si="2"/>
        <v>5400</v>
      </c>
      <c r="M285" s="12" t="str">
        <f t="shared" si="6"/>
        <v/>
      </c>
      <c r="N285" s="12" t="str">
        <f t="shared" si="4"/>
        <v/>
      </c>
      <c r="O285" s="12" t="str">
        <f t="shared" si="5"/>
        <v/>
      </c>
      <c r="AI285" s="8" t="s">
        <v>694</v>
      </c>
    </row>
    <row r="286" ht="15.75" customHeight="1">
      <c r="B286" s="2" t="s">
        <v>695</v>
      </c>
      <c r="D286" s="2" t="s">
        <v>54</v>
      </c>
      <c r="E286" s="2" t="s">
        <v>84</v>
      </c>
      <c r="F286" s="11"/>
      <c r="G286" s="12"/>
      <c r="H286" s="13">
        <v>500.0</v>
      </c>
      <c r="I286" s="2">
        <v>143.0</v>
      </c>
      <c r="K286" s="10">
        <f t="shared" si="7"/>
        <v>143</v>
      </c>
      <c r="L286" s="12">
        <f t="shared" si="2"/>
        <v>71500</v>
      </c>
      <c r="M286" s="12" t="str">
        <f t="shared" si="6"/>
        <v/>
      </c>
      <c r="N286" s="12" t="str">
        <f t="shared" si="4"/>
        <v/>
      </c>
      <c r="O286" s="12" t="str">
        <f t="shared" si="5"/>
        <v/>
      </c>
      <c r="AI286" s="8" t="s">
        <v>696</v>
      </c>
    </row>
    <row r="287" ht="15.75" customHeight="1">
      <c r="B287" s="2" t="s">
        <v>697</v>
      </c>
      <c r="D287" s="2" t="s">
        <v>86</v>
      </c>
      <c r="E287" s="2" t="s">
        <v>84</v>
      </c>
      <c r="F287" s="11"/>
      <c r="G287" s="12"/>
      <c r="H287" s="13">
        <v>1000.0</v>
      </c>
      <c r="I287" s="2">
        <v>10.0</v>
      </c>
      <c r="K287" s="10">
        <f t="shared" si="7"/>
        <v>10</v>
      </c>
      <c r="L287" s="12">
        <f t="shared" si="2"/>
        <v>10000</v>
      </c>
      <c r="M287" s="12" t="str">
        <f t="shared" si="6"/>
        <v/>
      </c>
      <c r="N287" s="12" t="str">
        <f t="shared" si="4"/>
        <v/>
      </c>
      <c r="O287" s="12" t="str">
        <f t="shared" si="5"/>
        <v/>
      </c>
      <c r="AI287" s="8" t="s">
        <v>698</v>
      </c>
    </row>
    <row r="288" ht="15.75" customHeight="1">
      <c r="B288" s="2" t="s">
        <v>699</v>
      </c>
      <c r="D288" s="2" t="s">
        <v>88</v>
      </c>
      <c r="E288" s="2" t="s">
        <v>82</v>
      </c>
      <c r="F288" s="11"/>
      <c r="G288" s="12"/>
      <c r="H288" s="13">
        <v>300.0</v>
      </c>
      <c r="I288" s="2">
        <v>31.0</v>
      </c>
      <c r="K288" s="10">
        <f t="shared" si="7"/>
        <v>31</v>
      </c>
      <c r="L288" s="12">
        <f t="shared" si="2"/>
        <v>9300</v>
      </c>
      <c r="M288" s="12" t="str">
        <f t="shared" si="6"/>
        <v/>
      </c>
      <c r="N288" s="12" t="str">
        <f t="shared" si="4"/>
        <v/>
      </c>
      <c r="O288" s="12" t="str">
        <f t="shared" si="5"/>
        <v/>
      </c>
      <c r="AI288" s="8" t="s">
        <v>700</v>
      </c>
    </row>
    <row r="289" ht="15.75" customHeight="1">
      <c r="B289" s="2" t="s">
        <v>701</v>
      </c>
      <c r="D289" s="2" t="s">
        <v>88</v>
      </c>
      <c r="E289" s="2" t="s">
        <v>79</v>
      </c>
      <c r="F289" s="11"/>
      <c r="G289" s="12"/>
      <c r="H289" s="13">
        <v>1000.0</v>
      </c>
      <c r="I289" s="2">
        <v>105.0</v>
      </c>
      <c r="K289" s="10">
        <f t="shared" si="7"/>
        <v>105</v>
      </c>
      <c r="L289" s="12">
        <f t="shared" si="2"/>
        <v>105000</v>
      </c>
      <c r="M289" s="12" t="str">
        <f t="shared" si="6"/>
        <v/>
      </c>
      <c r="N289" s="12" t="str">
        <f t="shared" si="4"/>
        <v/>
      </c>
      <c r="O289" s="12" t="str">
        <f t="shared" si="5"/>
        <v/>
      </c>
      <c r="AI289" s="8" t="s">
        <v>702</v>
      </c>
    </row>
    <row r="290" ht="15.75" customHeight="1">
      <c r="A290" s="2">
        <v>3.160503414058E14</v>
      </c>
      <c r="B290" s="2" t="s">
        <v>703</v>
      </c>
      <c r="D290" s="2" t="s">
        <v>54</v>
      </c>
      <c r="E290" s="2" t="s">
        <v>84</v>
      </c>
      <c r="F290" s="11"/>
      <c r="G290" s="12"/>
      <c r="H290" s="13">
        <v>2500.0</v>
      </c>
      <c r="I290" s="2">
        <v>3.0</v>
      </c>
      <c r="K290" s="10">
        <f t="shared" si="7"/>
        <v>3</v>
      </c>
      <c r="L290" s="12">
        <f t="shared" si="2"/>
        <v>7500</v>
      </c>
      <c r="M290" s="12">
        <f t="shared" si="6"/>
        <v>0</v>
      </c>
      <c r="N290" s="12">
        <f t="shared" si="4"/>
        <v>0</v>
      </c>
      <c r="O290" s="12">
        <f t="shared" si="5"/>
        <v>0</v>
      </c>
      <c r="AI290" s="8" t="s">
        <v>704</v>
      </c>
    </row>
    <row r="291" ht="15.75" customHeight="1">
      <c r="A291" s="2">
        <v>3.160003501084E14</v>
      </c>
      <c r="B291" s="2" t="s">
        <v>705</v>
      </c>
      <c r="C291" s="2" t="s">
        <v>54</v>
      </c>
      <c r="D291" s="2" t="s">
        <v>175</v>
      </c>
      <c r="E291" s="2" t="s">
        <v>68</v>
      </c>
      <c r="F291" s="11"/>
      <c r="G291" s="12"/>
      <c r="H291" s="13">
        <v>4000.0</v>
      </c>
      <c r="I291" s="2">
        <v>18.0</v>
      </c>
      <c r="K291" s="10">
        <f t="shared" si="7"/>
        <v>18</v>
      </c>
      <c r="L291" s="12">
        <f t="shared" si="2"/>
        <v>72000</v>
      </c>
      <c r="M291" s="12">
        <f t="shared" si="6"/>
        <v>0</v>
      </c>
      <c r="N291" s="12">
        <f t="shared" si="4"/>
        <v>0</v>
      </c>
      <c r="O291" s="12">
        <f t="shared" si="5"/>
        <v>0</v>
      </c>
      <c r="AI291" s="8" t="s">
        <v>706</v>
      </c>
    </row>
    <row r="292" ht="15.75" customHeight="1">
      <c r="A292" s="2">
        <v>4.0260013170102E14</v>
      </c>
      <c r="B292" s="2" t="s">
        <v>707</v>
      </c>
      <c r="D292" s="2" t="s">
        <v>88</v>
      </c>
      <c r="E292" s="2" t="s">
        <v>79</v>
      </c>
      <c r="F292" s="11"/>
      <c r="G292" s="12"/>
      <c r="H292" s="13">
        <v>40000.0</v>
      </c>
      <c r="I292" s="2">
        <v>1.0</v>
      </c>
      <c r="K292" s="10">
        <f t="shared" si="7"/>
        <v>1</v>
      </c>
      <c r="L292" s="12">
        <f t="shared" si="2"/>
        <v>40000</v>
      </c>
      <c r="M292" s="12">
        <f t="shared" si="6"/>
        <v>0</v>
      </c>
      <c r="N292" s="12">
        <f t="shared" si="4"/>
        <v>0</v>
      </c>
      <c r="O292" s="12">
        <f t="shared" si="5"/>
        <v>0</v>
      </c>
      <c r="AI292" s="8" t="s">
        <v>708</v>
      </c>
    </row>
    <row r="293" ht="13.5" customHeight="1">
      <c r="A293" s="2" t="s">
        <v>709</v>
      </c>
      <c r="B293" s="2" t="s">
        <v>710</v>
      </c>
      <c r="D293" s="2" t="s">
        <v>88</v>
      </c>
      <c r="E293" s="2" t="s">
        <v>148</v>
      </c>
      <c r="F293" s="11"/>
      <c r="G293" s="12"/>
      <c r="H293" s="13">
        <v>10000.0</v>
      </c>
      <c r="I293" s="2">
        <v>5.0</v>
      </c>
      <c r="K293" s="10">
        <f t="shared" si="7"/>
        <v>5</v>
      </c>
      <c r="L293" s="12">
        <f t="shared" si="2"/>
        <v>50000</v>
      </c>
      <c r="M293" s="12">
        <f t="shared" si="6"/>
        <v>0</v>
      </c>
      <c r="N293" s="12">
        <f t="shared" si="4"/>
        <v>0</v>
      </c>
      <c r="O293" s="12">
        <f t="shared" si="5"/>
        <v>0</v>
      </c>
      <c r="AI293" s="8" t="s">
        <v>711</v>
      </c>
    </row>
    <row r="294" ht="15.75" customHeight="1">
      <c r="B294" s="2" t="s">
        <v>712</v>
      </c>
      <c r="D294" s="2" t="s">
        <v>86</v>
      </c>
      <c r="E294" s="2" t="s">
        <v>148</v>
      </c>
      <c r="F294" s="11"/>
      <c r="G294" s="12"/>
      <c r="H294" s="13">
        <v>30000.0</v>
      </c>
      <c r="I294" s="2">
        <v>1.0</v>
      </c>
      <c r="K294" s="10">
        <f t="shared" si="7"/>
        <v>1</v>
      </c>
      <c r="L294" s="12">
        <f t="shared" si="2"/>
        <v>30000</v>
      </c>
      <c r="M294" s="12" t="str">
        <f t="shared" si="6"/>
        <v/>
      </c>
      <c r="N294" s="12" t="str">
        <f t="shared" si="4"/>
        <v/>
      </c>
      <c r="O294" s="12" t="str">
        <f t="shared" si="5"/>
        <v/>
      </c>
      <c r="AI294" s="8" t="s">
        <v>713</v>
      </c>
    </row>
    <row r="295" ht="15.75" customHeight="1">
      <c r="E295" s="10"/>
      <c r="F295" s="11"/>
      <c r="G295" s="12"/>
      <c r="H295" s="12"/>
      <c r="K295" s="10">
        <f t="shared" si="7"/>
        <v>0</v>
      </c>
      <c r="L295" s="12">
        <f t="shared" si="2"/>
        <v>0</v>
      </c>
      <c r="M295" s="12" t="str">
        <f t="shared" si="6"/>
        <v/>
      </c>
      <c r="N295" s="12" t="str">
        <f t="shared" si="4"/>
        <v/>
      </c>
      <c r="O295" s="12" t="str">
        <f t="shared" si="5"/>
        <v/>
      </c>
      <c r="AI295" s="2" t="s">
        <v>64</v>
      </c>
    </row>
    <row r="296" ht="15.75" customHeight="1">
      <c r="E296" s="10"/>
      <c r="F296" s="11"/>
      <c r="G296" s="12"/>
      <c r="H296" s="12"/>
      <c r="K296" s="10">
        <f t="shared" si="7"/>
        <v>0</v>
      </c>
      <c r="L296" s="12">
        <f t="shared" si="2"/>
        <v>0</v>
      </c>
      <c r="M296" s="12" t="str">
        <f t="shared" si="6"/>
        <v/>
      </c>
      <c r="N296" s="12" t="str">
        <f t="shared" si="4"/>
        <v/>
      </c>
      <c r="O296" s="12" t="str">
        <f t="shared" si="5"/>
        <v/>
      </c>
      <c r="AI296" s="2" t="s">
        <v>64</v>
      </c>
    </row>
    <row r="297" ht="15.75" customHeight="1">
      <c r="E297" s="10"/>
      <c r="F297" s="11"/>
      <c r="G297" s="12"/>
      <c r="H297" s="12"/>
      <c r="K297" s="10">
        <f t="shared" si="7"/>
        <v>0</v>
      </c>
      <c r="L297" s="12">
        <f t="shared" si="2"/>
        <v>0</v>
      </c>
      <c r="M297" s="12" t="str">
        <f t="shared" si="6"/>
        <v/>
      </c>
      <c r="N297" s="12" t="str">
        <f t="shared" si="4"/>
        <v/>
      </c>
      <c r="O297" s="12" t="str">
        <f t="shared" si="5"/>
        <v/>
      </c>
      <c r="AI297" s="2" t="s">
        <v>64</v>
      </c>
    </row>
    <row r="298" ht="15.75" customHeight="1">
      <c r="E298" s="10"/>
      <c r="F298" s="11"/>
      <c r="G298" s="12"/>
      <c r="H298" s="12"/>
      <c r="K298" s="10">
        <f t="shared" si="7"/>
        <v>0</v>
      </c>
      <c r="L298" s="12">
        <f t="shared" si="2"/>
        <v>0</v>
      </c>
      <c r="M298" s="12" t="str">
        <f t="shared" si="6"/>
        <v/>
      </c>
      <c r="N298" s="12" t="str">
        <f t="shared" si="4"/>
        <v/>
      </c>
      <c r="O298" s="12" t="str">
        <f t="shared" si="5"/>
        <v/>
      </c>
      <c r="AI298" s="2" t="s">
        <v>64</v>
      </c>
    </row>
    <row r="299" ht="15.75" customHeight="1">
      <c r="E299" s="10"/>
      <c r="F299" s="11"/>
      <c r="G299" s="12"/>
      <c r="H299" s="12"/>
      <c r="K299" s="10">
        <f t="shared" si="7"/>
        <v>0</v>
      </c>
      <c r="L299" s="12">
        <f t="shared" si="2"/>
        <v>0</v>
      </c>
      <c r="M299" s="12" t="str">
        <f t="shared" si="6"/>
        <v/>
      </c>
      <c r="N299" s="12" t="str">
        <f t="shared" si="4"/>
        <v/>
      </c>
      <c r="O299" s="12" t="str">
        <f t="shared" si="5"/>
        <v/>
      </c>
      <c r="AI299" s="2" t="s">
        <v>64</v>
      </c>
    </row>
    <row r="300" ht="15.75" customHeight="1">
      <c r="E300" s="10"/>
      <c r="F300" s="11"/>
      <c r="G300" s="12"/>
      <c r="H300" s="12"/>
      <c r="K300" s="10">
        <f t="shared" si="7"/>
        <v>0</v>
      </c>
      <c r="L300" s="12">
        <f t="shared" si="2"/>
        <v>0</v>
      </c>
      <c r="M300" s="12" t="str">
        <f t="shared" si="6"/>
        <v/>
      </c>
      <c r="N300" s="12" t="str">
        <f t="shared" si="4"/>
        <v/>
      </c>
      <c r="O300" s="12" t="str">
        <f t="shared" si="5"/>
        <v/>
      </c>
      <c r="AI300" s="2" t="s">
        <v>64</v>
      </c>
    </row>
    <row r="301" ht="15.75" customHeight="1">
      <c r="E301" s="10"/>
      <c r="F301" s="11"/>
      <c r="G301" s="12"/>
      <c r="H301" s="12"/>
      <c r="K301" s="10">
        <f t="shared" si="7"/>
        <v>0</v>
      </c>
      <c r="L301" s="12">
        <f t="shared" si="2"/>
        <v>0</v>
      </c>
      <c r="M301" s="12" t="str">
        <f t="shared" si="6"/>
        <v/>
      </c>
      <c r="N301" s="12" t="str">
        <f t="shared" si="4"/>
        <v/>
      </c>
      <c r="O301" s="12" t="str">
        <f t="shared" si="5"/>
        <v/>
      </c>
      <c r="AI301" s="2" t="s">
        <v>64</v>
      </c>
    </row>
    <row r="302" ht="15.75" customHeight="1">
      <c r="E302" s="10"/>
      <c r="F302" s="11"/>
      <c r="G302" s="12"/>
      <c r="H302" s="12"/>
      <c r="K302" s="10">
        <f t="shared" si="7"/>
        <v>0</v>
      </c>
      <c r="L302" s="12">
        <f t="shared" si="2"/>
        <v>0</v>
      </c>
      <c r="M302" s="12" t="str">
        <f t="shared" si="6"/>
        <v/>
      </c>
      <c r="N302" s="12" t="str">
        <f t="shared" si="4"/>
        <v/>
      </c>
      <c r="O302" s="12" t="str">
        <f t="shared" si="5"/>
        <v/>
      </c>
      <c r="AI302" s="2" t="s">
        <v>64</v>
      </c>
    </row>
    <row r="303" ht="15.75" customHeight="1">
      <c r="E303" s="10"/>
      <c r="F303" s="11"/>
      <c r="G303" s="12"/>
      <c r="H303" s="12"/>
      <c r="K303" s="10">
        <f t="shared" si="7"/>
        <v>0</v>
      </c>
      <c r="L303" s="12">
        <f t="shared" si="2"/>
        <v>0</v>
      </c>
      <c r="M303" s="12" t="str">
        <f t="shared" si="6"/>
        <v/>
      </c>
      <c r="N303" s="12" t="str">
        <f t="shared" si="4"/>
        <v/>
      </c>
      <c r="O303" s="12" t="str">
        <f t="shared" si="5"/>
        <v/>
      </c>
      <c r="AI303" s="2" t="s">
        <v>64</v>
      </c>
    </row>
    <row r="304" ht="15.75" customHeight="1">
      <c r="E304" s="10"/>
      <c r="F304" s="11"/>
      <c r="G304" s="12"/>
      <c r="H304" s="12"/>
      <c r="K304" s="10">
        <f t="shared" si="7"/>
        <v>0</v>
      </c>
      <c r="L304" s="12">
        <f t="shared" si="2"/>
        <v>0</v>
      </c>
      <c r="M304" s="12" t="str">
        <f t="shared" si="6"/>
        <v/>
      </c>
      <c r="N304" s="12" t="str">
        <f t="shared" si="4"/>
        <v/>
      </c>
      <c r="O304" s="12" t="str">
        <f t="shared" si="5"/>
        <v/>
      </c>
      <c r="AI304" s="2" t="s">
        <v>64</v>
      </c>
    </row>
    <row r="305" ht="15.75" customHeight="1">
      <c r="E305" s="10"/>
      <c r="F305" s="11"/>
      <c r="G305" s="12"/>
      <c r="H305" s="12"/>
      <c r="K305" s="10">
        <f t="shared" si="7"/>
        <v>0</v>
      </c>
      <c r="L305" s="12">
        <f t="shared" si="2"/>
        <v>0</v>
      </c>
      <c r="M305" s="12" t="str">
        <f t="shared" si="6"/>
        <v/>
      </c>
      <c r="N305" s="12" t="str">
        <f t="shared" si="4"/>
        <v/>
      </c>
      <c r="O305" s="12" t="str">
        <f t="shared" si="5"/>
        <v/>
      </c>
      <c r="AI305" s="2" t="s">
        <v>64</v>
      </c>
    </row>
    <row r="306" ht="15.75" customHeight="1">
      <c r="E306" s="10"/>
      <c r="F306" s="11"/>
      <c r="G306" s="12"/>
      <c r="H306" s="12"/>
      <c r="K306" s="10">
        <f t="shared" si="7"/>
        <v>0</v>
      </c>
      <c r="L306" s="12">
        <f t="shared" si="2"/>
        <v>0</v>
      </c>
      <c r="M306" s="12" t="str">
        <f t="shared" si="6"/>
        <v/>
      </c>
      <c r="N306" s="12" t="str">
        <f t="shared" si="4"/>
        <v/>
      </c>
      <c r="O306" s="12" t="str">
        <f t="shared" si="5"/>
        <v/>
      </c>
      <c r="AI306" s="2" t="s">
        <v>64</v>
      </c>
    </row>
    <row r="307" ht="15.75" customHeight="1">
      <c r="E307" s="10"/>
      <c r="F307" s="11"/>
      <c r="G307" s="12"/>
      <c r="H307" s="12"/>
      <c r="K307" s="10">
        <f t="shared" si="7"/>
        <v>0</v>
      </c>
      <c r="L307" s="12">
        <f t="shared" si="2"/>
        <v>0</v>
      </c>
      <c r="M307" s="12" t="str">
        <f t="shared" si="6"/>
        <v/>
      </c>
      <c r="N307" s="12" t="str">
        <f t="shared" si="4"/>
        <v/>
      </c>
      <c r="O307" s="12" t="str">
        <f t="shared" si="5"/>
        <v/>
      </c>
      <c r="AI307" s="2" t="s">
        <v>64</v>
      </c>
    </row>
    <row r="308" ht="15.75" customHeight="1">
      <c r="E308" s="10"/>
      <c r="F308" s="11"/>
      <c r="G308" s="12"/>
      <c r="H308" s="12"/>
      <c r="K308" s="10">
        <f t="shared" si="7"/>
        <v>0</v>
      </c>
      <c r="L308" s="12">
        <f t="shared" si="2"/>
        <v>0</v>
      </c>
      <c r="M308" s="12" t="str">
        <f t="shared" si="6"/>
        <v/>
      </c>
      <c r="N308" s="12" t="str">
        <f t="shared" si="4"/>
        <v/>
      </c>
      <c r="O308" s="12" t="str">
        <f t="shared" si="5"/>
        <v/>
      </c>
      <c r="AI308" s="2" t="s">
        <v>64</v>
      </c>
    </row>
    <row r="309" ht="15.75" customHeight="1">
      <c r="E309" s="10"/>
      <c r="F309" s="11"/>
      <c r="G309" s="12"/>
      <c r="H309" s="12"/>
      <c r="K309" s="10">
        <f t="shared" si="7"/>
        <v>0</v>
      </c>
      <c r="L309" s="12">
        <f t="shared" si="2"/>
        <v>0</v>
      </c>
      <c r="M309" s="12" t="str">
        <f t="shared" si="6"/>
        <v/>
      </c>
      <c r="N309" s="12" t="str">
        <f t="shared" si="4"/>
        <v/>
      </c>
      <c r="O309" s="12" t="str">
        <f t="shared" si="5"/>
        <v/>
      </c>
      <c r="AI309" s="2" t="s">
        <v>64</v>
      </c>
    </row>
    <row r="310" ht="15.75" customHeight="1">
      <c r="E310" s="10"/>
      <c r="F310" s="11"/>
      <c r="G310" s="12"/>
      <c r="H310" s="12"/>
      <c r="K310" s="10">
        <f t="shared" si="7"/>
        <v>0</v>
      </c>
      <c r="L310" s="12">
        <f t="shared" si="2"/>
        <v>0</v>
      </c>
      <c r="M310" s="12" t="str">
        <f t="shared" si="6"/>
        <v/>
      </c>
      <c r="N310" s="12" t="str">
        <f t="shared" si="4"/>
        <v/>
      </c>
      <c r="O310" s="12" t="str">
        <f t="shared" si="5"/>
        <v/>
      </c>
      <c r="AI310" s="2" t="s">
        <v>64</v>
      </c>
    </row>
    <row r="311" ht="15.75" customHeight="1">
      <c r="E311" s="10"/>
      <c r="F311" s="11"/>
      <c r="G311" s="12"/>
      <c r="H311" s="12"/>
      <c r="K311" s="10">
        <f t="shared" si="7"/>
        <v>0</v>
      </c>
      <c r="L311" s="12">
        <f t="shared" si="2"/>
        <v>0</v>
      </c>
      <c r="M311" s="12" t="str">
        <f t="shared" si="6"/>
        <v/>
      </c>
      <c r="N311" s="12" t="str">
        <f t="shared" si="4"/>
        <v/>
      </c>
      <c r="O311" s="12" t="str">
        <f t="shared" si="5"/>
        <v/>
      </c>
      <c r="AI311" s="2" t="s">
        <v>64</v>
      </c>
    </row>
    <row r="312" ht="15.75" customHeight="1">
      <c r="E312" s="10"/>
      <c r="F312" s="11"/>
      <c r="G312" s="12"/>
      <c r="H312" s="12"/>
      <c r="K312" s="10">
        <f t="shared" si="7"/>
        <v>0</v>
      </c>
      <c r="L312" s="12">
        <f t="shared" si="2"/>
        <v>0</v>
      </c>
      <c r="M312" s="12" t="str">
        <f t="shared" si="6"/>
        <v/>
      </c>
      <c r="N312" s="12" t="str">
        <f t="shared" si="4"/>
        <v/>
      </c>
      <c r="O312" s="12" t="str">
        <f t="shared" si="5"/>
        <v/>
      </c>
      <c r="AI312" s="2" t="s">
        <v>64</v>
      </c>
    </row>
    <row r="313" ht="15.75" customHeight="1">
      <c r="E313" s="10"/>
      <c r="F313" s="11"/>
      <c r="G313" s="12"/>
      <c r="H313" s="12"/>
      <c r="K313" s="10">
        <f t="shared" si="7"/>
        <v>0</v>
      </c>
      <c r="L313" s="12">
        <f t="shared" si="2"/>
        <v>0</v>
      </c>
      <c r="M313" s="12" t="str">
        <f t="shared" si="6"/>
        <v/>
      </c>
      <c r="N313" s="12" t="str">
        <f t="shared" si="4"/>
        <v/>
      </c>
      <c r="O313" s="12" t="str">
        <f t="shared" si="5"/>
        <v/>
      </c>
      <c r="AI313" s="2" t="s">
        <v>64</v>
      </c>
    </row>
    <row r="314" ht="15.75" customHeight="1">
      <c r="E314" s="10"/>
      <c r="F314" s="11"/>
      <c r="G314" s="12"/>
      <c r="H314" s="12"/>
      <c r="K314" s="10">
        <f t="shared" si="7"/>
        <v>0</v>
      </c>
      <c r="L314" s="12">
        <f t="shared" si="2"/>
        <v>0</v>
      </c>
      <c r="M314" s="12" t="str">
        <f t="shared" si="6"/>
        <v/>
      </c>
      <c r="N314" s="12" t="str">
        <f t="shared" si="4"/>
        <v/>
      </c>
      <c r="O314" s="12" t="str">
        <f t="shared" si="5"/>
        <v/>
      </c>
      <c r="AI314" s="2" t="s">
        <v>64</v>
      </c>
    </row>
    <row r="315" ht="15.75" customHeight="1">
      <c r="E315" s="10"/>
      <c r="F315" s="11"/>
      <c r="G315" s="12"/>
      <c r="H315" s="12"/>
      <c r="K315" s="10">
        <f t="shared" si="7"/>
        <v>0</v>
      </c>
      <c r="L315" s="12">
        <f t="shared" si="2"/>
        <v>0</v>
      </c>
      <c r="M315" s="12" t="str">
        <f t="shared" si="6"/>
        <v/>
      </c>
      <c r="N315" s="12" t="str">
        <f t="shared" si="4"/>
        <v/>
      </c>
      <c r="O315" s="12" t="str">
        <f t="shared" si="5"/>
        <v/>
      </c>
      <c r="AI315" s="2" t="s">
        <v>64</v>
      </c>
    </row>
    <row r="316" ht="15.75" customHeight="1">
      <c r="E316" s="10"/>
      <c r="F316" s="11"/>
      <c r="G316" s="12"/>
      <c r="H316" s="12"/>
      <c r="K316" s="10">
        <f t="shared" si="7"/>
        <v>0</v>
      </c>
      <c r="L316" s="12">
        <f t="shared" si="2"/>
        <v>0</v>
      </c>
      <c r="M316" s="12" t="str">
        <f t="shared" si="6"/>
        <v/>
      </c>
      <c r="N316" s="12" t="str">
        <f t="shared" si="4"/>
        <v/>
      </c>
      <c r="O316" s="12" t="str">
        <f t="shared" si="5"/>
        <v/>
      </c>
      <c r="AI316" s="2" t="s">
        <v>64</v>
      </c>
    </row>
    <row r="317" ht="15.75" customHeight="1">
      <c r="E317" s="10"/>
      <c r="F317" s="11"/>
      <c r="G317" s="12"/>
      <c r="H317" s="12"/>
      <c r="K317" s="10">
        <f t="shared" si="7"/>
        <v>0</v>
      </c>
      <c r="L317" s="12">
        <f t="shared" si="2"/>
        <v>0</v>
      </c>
      <c r="M317" s="12" t="str">
        <f t="shared" si="6"/>
        <v/>
      </c>
      <c r="N317" s="12" t="str">
        <f t="shared" si="4"/>
        <v/>
      </c>
      <c r="O317" s="12" t="str">
        <f t="shared" si="5"/>
        <v/>
      </c>
      <c r="AI317" s="2" t="s">
        <v>64</v>
      </c>
    </row>
    <row r="318" ht="15.75" customHeight="1">
      <c r="E318" s="10"/>
      <c r="F318" s="11"/>
      <c r="G318" s="12"/>
      <c r="H318" s="12"/>
      <c r="K318" s="10">
        <f t="shared" si="7"/>
        <v>0</v>
      </c>
      <c r="L318" s="12">
        <f t="shared" si="2"/>
        <v>0</v>
      </c>
      <c r="M318" s="12" t="str">
        <f t="shared" si="6"/>
        <v/>
      </c>
      <c r="N318" s="12" t="str">
        <f t="shared" si="4"/>
        <v/>
      </c>
      <c r="O318" s="12" t="str">
        <f t="shared" si="5"/>
        <v/>
      </c>
      <c r="AI318" s="2" t="s">
        <v>64</v>
      </c>
    </row>
    <row r="319" ht="15.75" customHeight="1">
      <c r="E319" s="10"/>
      <c r="F319" s="11"/>
      <c r="G319" s="12"/>
      <c r="H319" s="12"/>
      <c r="K319" s="10">
        <f t="shared" si="7"/>
        <v>0</v>
      </c>
      <c r="L319" s="12">
        <f t="shared" si="2"/>
        <v>0</v>
      </c>
      <c r="M319" s="12" t="str">
        <f t="shared" si="6"/>
        <v/>
      </c>
      <c r="N319" s="12" t="str">
        <f t="shared" si="4"/>
        <v/>
      </c>
      <c r="O319" s="12" t="str">
        <f t="shared" si="5"/>
        <v/>
      </c>
      <c r="AI319" s="2" t="s">
        <v>64</v>
      </c>
    </row>
    <row r="320" ht="15.75" customHeight="1">
      <c r="E320" s="10"/>
      <c r="F320" s="11"/>
      <c r="G320" s="12"/>
      <c r="H320" s="12"/>
      <c r="K320" s="10">
        <f t="shared" si="7"/>
        <v>0</v>
      </c>
      <c r="L320" s="12">
        <f t="shared" si="2"/>
        <v>0</v>
      </c>
      <c r="M320" s="12" t="str">
        <f t="shared" si="6"/>
        <v/>
      </c>
      <c r="N320" s="12" t="str">
        <f t="shared" si="4"/>
        <v/>
      </c>
      <c r="O320" s="12" t="str">
        <f t="shared" si="5"/>
        <v/>
      </c>
      <c r="AI320" s="2" t="s">
        <v>64</v>
      </c>
    </row>
    <row r="321" ht="15.75" customHeight="1">
      <c r="E321" s="10"/>
      <c r="F321" s="11"/>
      <c r="G321" s="12"/>
      <c r="H321" s="12"/>
      <c r="K321" s="10">
        <f t="shared" si="7"/>
        <v>0</v>
      </c>
      <c r="L321" s="12">
        <f t="shared" si="2"/>
        <v>0</v>
      </c>
      <c r="M321" s="12" t="str">
        <f t="shared" si="6"/>
        <v/>
      </c>
      <c r="N321" s="12" t="str">
        <f t="shared" si="4"/>
        <v/>
      </c>
      <c r="O321" s="12" t="str">
        <f t="shared" si="5"/>
        <v/>
      </c>
      <c r="AI321" s="2" t="s">
        <v>64</v>
      </c>
    </row>
    <row r="322" ht="15.75" customHeight="1">
      <c r="E322" s="10"/>
      <c r="F322" s="11"/>
      <c r="G322" s="12"/>
      <c r="H322" s="12"/>
      <c r="K322" s="10">
        <f t="shared" si="7"/>
        <v>0</v>
      </c>
      <c r="L322" s="12">
        <f t="shared" si="2"/>
        <v>0</v>
      </c>
      <c r="M322" s="12" t="str">
        <f t="shared" si="6"/>
        <v/>
      </c>
      <c r="N322" s="12" t="str">
        <f t="shared" si="4"/>
        <v/>
      </c>
      <c r="O322" s="12" t="str">
        <f t="shared" si="5"/>
        <v/>
      </c>
      <c r="AI322" s="2" t="s">
        <v>64</v>
      </c>
    </row>
    <row r="323" ht="15.75" customHeight="1">
      <c r="E323" s="10"/>
      <c r="F323" s="11"/>
      <c r="G323" s="12"/>
      <c r="H323" s="12"/>
      <c r="K323" s="10">
        <f t="shared" si="7"/>
        <v>0</v>
      </c>
      <c r="L323" s="12">
        <f t="shared" si="2"/>
        <v>0</v>
      </c>
      <c r="M323" s="12" t="str">
        <f t="shared" si="6"/>
        <v/>
      </c>
      <c r="N323" s="12" t="str">
        <f t="shared" si="4"/>
        <v/>
      </c>
      <c r="O323" s="12" t="str">
        <f t="shared" si="5"/>
        <v/>
      </c>
      <c r="AI323" s="2" t="s">
        <v>64</v>
      </c>
    </row>
    <row r="324" ht="15.75" customHeight="1">
      <c r="E324" s="10"/>
      <c r="F324" s="11"/>
      <c r="G324" s="12"/>
      <c r="H324" s="12"/>
      <c r="K324" s="10">
        <f t="shared" si="7"/>
        <v>0</v>
      </c>
      <c r="L324" s="12">
        <f t="shared" si="2"/>
        <v>0</v>
      </c>
      <c r="M324" s="12" t="str">
        <f t="shared" si="6"/>
        <v/>
      </c>
      <c r="N324" s="12" t="str">
        <f t="shared" si="4"/>
        <v/>
      </c>
      <c r="O324" s="12" t="str">
        <f t="shared" si="5"/>
        <v/>
      </c>
      <c r="AI324" s="2" t="s">
        <v>64</v>
      </c>
    </row>
    <row r="325" ht="15.75" customHeight="1">
      <c r="E325" s="10"/>
      <c r="F325" s="11"/>
      <c r="G325" s="12"/>
      <c r="H325" s="12"/>
      <c r="K325" s="10">
        <f t="shared" si="7"/>
        <v>0</v>
      </c>
      <c r="L325" s="12">
        <f t="shared" si="2"/>
        <v>0</v>
      </c>
      <c r="M325" s="12" t="str">
        <f t="shared" si="6"/>
        <v/>
      </c>
      <c r="N325" s="12" t="str">
        <f t="shared" si="4"/>
        <v/>
      </c>
      <c r="O325" s="12" t="str">
        <f t="shared" si="5"/>
        <v/>
      </c>
      <c r="AI325" s="2" t="s">
        <v>64</v>
      </c>
    </row>
    <row r="326" ht="15.75" customHeight="1">
      <c r="E326" s="10"/>
      <c r="F326" s="11"/>
      <c r="G326" s="12"/>
      <c r="H326" s="12"/>
      <c r="K326" s="10">
        <f t="shared" si="7"/>
        <v>0</v>
      </c>
      <c r="L326" s="12">
        <f t="shared" si="2"/>
        <v>0</v>
      </c>
      <c r="M326" s="12" t="str">
        <f t="shared" si="6"/>
        <v/>
      </c>
      <c r="N326" s="12" t="str">
        <f t="shared" si="4"/>
        <v/>
      </c>
      <c r="O326" s="12" t="str">
        <f t="shared" si="5"/>
        <v/>
      </c>
      <c r="AI326" s="2" t="s">
        <v>64</v>
      </c>
    </row>
    <row r="327" ht="15.75" customHeight="1">
      <c r="E327" s="10"/>
      <c r="F327" s="11"/>
      <c r="G327" s="12"/>
      <c r="H327" s="12"/>
      <c r="K327" s="10">
        <f t="shared" si="7"/>
        <v>0</v>
      </c>
      <c r="L327" s="12">
        <f t="shared" si="2"/>
        <v>0</v>
      </c>
      <c r="M327" s="12" t="str">
        <f t="shared" si="6"/>
        <v/>
      </c>
      <c r="N327" s="12" t="str">
        <f t="shared" si="4"/>
        <v/>
      </c>
      <c r="O327" s="12" t="str">
        <f t="shared" si="5"/>
        <v/>
      </c>
      <c r="AI327" s="2" t="s">
        <v>64</v>
      </c>
    </row>
    <row r="328" ht="15.75" customHeight="1">
      <c r="E328" s="10"/>
      <c r="F328" s="11"/>
      <c r="G328" s="12"/>
      <c r="H328" s="12"/>
      <c r="K328" s="10">
        <f t="shared" si="7"/>
        <v>0</v>
      </c>
      <c r="L328" s="12">
        <f t="shared" si="2"/>
        <v>0</v>
      </c>
      <c r="M328" s="12" t="str">
        <f t="shared" si="6"/>
        <v/>
      </c>
      <c r="N328" s="12" t="str">
        <f t="shared" si="4"/>
        <v/>
      </c>
      <c r="O328" s="12" t="str">
        <f t="shared" si="5"/>
        <v/>
      </c>
      <c r="AI328" s="2" t="s">
        <v>64</v>
      </c>
    </row>
    <row r="329" ht="15.75" customHeight="1">
      <c r="E329" s="10"/>
      <c r="F329" s="11"/>
      <c r="G329" s="12"/>
      <c r="H329" s="12"/>
      <c r="K329" s="10">
        <f t="shared" si="7"/>
        <v>0</v>
      </c>
      <c r="L329" s="12">
        <f t="shared" si="2"/>
        <v>0</v>
      </c>
      <c r="M329" s="12" t="str">
        <f t="shared" si="6"/>
        <v/>
      </c>
      <c r="N329" s="12" t="str">
        <f t="shared" si="4"/>
        <v/>
      </c>
      <c r="O329" s="12" t="str">
        <f t="shared" si="5"/>
        <v/>
      </c>
      <c r="AI329" s="2" t="s">
        <v>64</v>
      </c>
    </row>
    <row r="330" ht="15.75" customHeight="1">
      <c r="E330" s="10"/>
      <c r="F330" s="11"/>
      <c r="G330" s="12"/>
      <c r="H330" s="12"/>
      <c r="K330" s="10">
        <f t="shared" si="7"/>
        <v>0</v>
      </c>
      <c r="L330" s="12">
        <f t="shared" si="2"/>
        <v>0</v>
      </c>
      <c r="M330" s="12" t="str">
        <f t="shared" si="6"/>
        <v/>
      </c>
      <c r="N330" s="12" t="str">
        <f t="shared" si="4"/>
        <v/>
      </c>
      <c r="O330" s="12" t="str">
        <f t="shared" si="5"/>
        <v/>
      </c>
      <c r="AI330" s="2" t="s">
        <v>64</v>
      </c>
    </row>
    <row r="331" ht="15.75" customHeight="1">
      <c r="E331" s="10"/>
      <c r="F331" s="11"/>
      <c r="G331" s="12"/>
      <c r="H331" s="12"/>
      <c r="K331" s="10">
        <f t="shared" si="7"/>
        <v>0</v>
      </c>
      <c r="L331" s="12">
        <f t="shared" si="2"/>
        <v>0</v>
      </c>
      <c r="M331" s="12" t="str">
        <f t="shared" si="6"/>
        <v/>
      </c>
      <c r="N331" s="12" t="str">
        <f t="shared" si="4"/>
        <v/>
      </c>
      <c r="O331" s="12" t="str">
        <f t="shared" si="5"/>
        <v/>
      </c>
      <c r="AI331" s="2" t="s">
        <v>64</v>
      </c>
    </row>
    <row r="332" ht="15.75" customHeight="1">
      <c r="E332" s="10"/>
      <c r="F332" s="11"/>
      <c r="G332" s="12"/>
      <c r="H332" s="12"/>
      <c r="K332" s="10">
        <f t="shared" si="7"/>
        <v>0</v>
      </c>
      <c r="L332" s="12">
        <f t="shared" si="2"/>
        <v>0</v>
      </c>
      <c r="M332" s="12" t="str">
        <f t="shared" si="6"/>
        <v/>
      </c>
      <c r="N332" s="12" t="str">
        <f t="shared" si="4"/>
        <v/>
      </c>
      <c r="O332" s="12" t="str">
        <f t="shared" si="5"/>
        <v/>
      </c>
      <c r="AI332" s="2" t="s">
        <v>64</v>
      </c>
    </row>
    <row r="333" ht="15.75" customHeight="1">
      <c r="E333" s="10"/>
      <c r="F333" s="11"/>
      <c r="G333" s="12"/>
      <c r="H333" s="12"/>
      <c r="K333" s="10">
        <f t="shared" si="7"/>
        <v>0</v>
      </c>
      <c r="L333" s="12">
        <f t="shared" si="2"/>
        <v>0</v>
      </c>
      <c r="M333" s="12" t="str">
        <f t="shared" si="6"/>
        <v/>
      </c>
      <c r="N333" s="12" t="str">
        <f t="shared" si="4"/>
        <v/>
      </c>
      <c r="O333" s="12" t="str">
        <f t="shared" si="5"/>
        <v/>
      </c>
      <c r="AI333" s="2" t="s">
        <v>64</v>
      </c>
    </row>
    <row r="334" ht="15.75" customHeight="1">
      <c r="E334" s="10"/>
      <c r="F334" s="11"/>
      <c r="G334" s="12"/>
      <c r="H334" s="12"/>
      <c r="K334" s="10">
        <f t="shared" si="7"/>
        <v>0</v>
      </c>
      <c r="L334" s="12">
        <f t="shared" si="2"/>
        <v>0</v>
      </c>
      <c r="M334" s="12" t="str">
        <f t="shared" si="6"/>
        <v/>
      </c>
      <c r="N334" s="12" t="str">
        <f t="shared" si="4"/>
        <v/>
      </c>
      <c r="O334" s="12" t="str">
        <f t="shared" si="5"/>
        <v/>
      </c>
      <c r="AI334" s="2" t="s">
        <v>64</v>
      </c>
    </row>
    <row r="335" ht="15.75" customHeight="1">
      <c r="E335" s="10"/>
      <c r="F335" s="11"/>
      <c r="G335" s="12"/>
      <c r="H335" s="12"/>
      <c r="K335" s="10">
        <f t="shared" si="7"/>
        <v>0</v>
      </c>
      <c r="L335" s="12">
        <f t="shared" si="2"/>
        <v>0</v>
      </c>
      <c r="M335" s="12" t="str">
        <f t="shared" si="6"/>
        <v/>
      </c>
      <c r="N335" s="12" t="str">
        <f t="shared" si="4"/>
        <v/>
      </c>
      <c r="O335" s="12" t="str">
        <f t="shared" si="5"/>
        <v/>
      </c>
      <c r="AI335" s="2" t="s">
        <v>64</v>
      </c>
    </row>
    <row r="336" ht="15.75" customHeight="1">
      <c r="E336" s="10"/>
      <c r="F336" s="11"/>
      <c r="G336" s="12"/>
      <c r="H336" s="12"/>
      <c r="K336" s="10">
        <f t="shared" si="7"/>
        <v>0</v>
      </c>
      <c r="L336" s="12">
        <f t="shared" si="2"/>
        <v>0</v>
      </c>
      <c r="M336" s="12" t="str">
        <f t="shared" si="6"/>
        <v/>
      </c>
      <c r="N336" s="12" t="str">
        <f t="shared" si="4"/>
        <v/>
      </c>
      <c r="O336" s="12" t="str">
        <f t="shared" si="5"/>
        <v/>
      </c>
      <c r="AI336" s="2" t="s">
        <v>64</v>
      </c>
    </row>
    <row r="337" ht="15.75" customHeight="1">
      <c r="E337" s="10"/>
      <c r="F337" s="11"/>
      <c r="G337" s="12"/>
      <c r="H337" s="12"/>
      <c r="K337" s="10">
        <f t="shared" si="7"/>
        <v>0</v>
      </c>
      <c r="L337" s="12">
        <f t="shared" si="2"/>
        <v>0</v>
      </c>
      <c r="M337" s="12" t="str">
        <f t="shared" si="6"/>
        <v/>
      </c>
      <c r="N337" s="12" t="str">
        <f t="shared" si="4"/>
        <v/>
      </c>
      <c r="O337" s="12" t="str">
        <f t="shared" si="5"/>
        <v/>
      </c>
      <c r="AI337" s="2" t="s">
        <v>64</v>
      </c>
    </row>
    <row r="338" ht="15.75" customHeight="1">
      <c r="E338" s="10"/>
      <c r="F338" s="11"/>
      <c r="G338" s="12"/>
      <c r="H338" s="12"/>
      <c r="K338" s="10">
        <f t="shared" si="7"/>
        <v>0</v>
      </c>
      <c r="L338" s="12">
        <f t="shared" si="2"/>
        <v>0</v>
      </c>
      <c r="M338" s="12" t="str">
        <f t="shared" si="6"/>
        <v/>
      </c>
      <c r="N338" s="12" t="str">
        <f t="shared" si="4"/>
        <v/>
      </c>
      <c r="O338" s="12" t="str">
        <f t="shared" si="5"/>
        <v/>
      </c>
      <c r="AI338" s="2" t="s">
        <v>64</v>
      </c>
    </row>
    <row r="339" ht="15.75" customHeight="1">
      <c r="E339" s="10"/>
      <c r="F339" s="11"/>
      <c r="G339" s="12"/>
      <c r="H339" s="12"/>
      <c r="K339" s="10">
        <f t="shared" si="7"/>
        <v>0</v>
      </c>
      <c r="L339" s="12">
        <f t="shared" si="2"/>
        <v>0</v>
      </c>
      <c r="M339" s="12" t="str">
        <f t="shared" si="6"/>
        <v/>
      </c>
      <c r="N339" s="12" t="str">
        <f t="shared" si="4"/>
        <v/>
      </c>
      <c r="O339" s="12" t="str">
        <f t="shared" si="5"/>
        <v/>
      </c>
      <c r="AI339" s="2" t="s">
        <v>64</v>
      </c>
    </row>
    <row r="340" ht="15.75" customHeight="1">
      <c r="E340" s="10"/>
      <c r="F340" s="11"/>
      <c r="G340" s="12"/>
      <c r="H340" s="12"/>
      <c r="K340" s="10">
        <f t="shared" si="7"/>
        <v>0</v>
      </c>
      <c r="L340" s="12">
        <f t="shared" si="2"/>
        <v>0</v>
      </c>
      <c r="M340" s="12" t="str">
        <f t="shared" si="6"/>
        <v/>
      </c>
      <c r="N340" s="12" t="str">
        <f t="shared" si="4"/>
        <v/>
      </c>
      <c r="O340" s="12" t="str">
        <f t="shared" si="5"/>
        <v/>
      </c>
      <c r="AI340" s="2" t="s">
        <v>64</v>
      </c>
    </row>
    <row r="341" ht="15.75" customHeight="1">
      <c r="E341" s="10"/>
      <c r="F341" s="11"/>
      <c r="G341" s="12"/>
      <c r="H341" s="12"/>
      <c r="K341" s="10">
        <f t="shared" si="7"/>
        <v>0</v>
      </c>
      <c r="L341" s="12">
        <f t="shared" si="2"/>
        <v>0</v>
      </c>
      <c r="M341" s="12" t="str">
        <f t="shared" si="6"/>
        <v/>
      </c>
      <c r="N341" s="12" t="str">
        <f t="shared" si="4"/>
        <v/>
      </c>
      <c r="O341" s="12" t="str">
        <f t="shared" si="5"/>
        <v/>
      </c>
      <c r="AI341" s="2" t="s">
        <v>64</v>
      </c>
    </row>
    <row r="342" ht="15.75" customHeight="1">
      <c r="E342" s="10"/>
      <c r="F342" s="11"/>
      <c r="G342" s="12"/>
      <c r="H342" s="12"/>
      <c r="K342" s="10">
        <f t="shared" si="7"/>
        <v>0</v>
      </c>
      <c r="L342" s="12">
        <f t="shared" si="2"/>
        <v>0</v>
      </c>
      <c r="M342" s="12" t="str">
        <f t="shared" si="6"/>
        <v/>
      </c>
      <c r="N342" s="12" t="str">
        <f t="shared" si="4"/>
        <v/>
      </c>
      <c r="O342" s="12" t="str">
        <f t="shared" si="5"/>
        <v/>
      </c>
      <c r="AI342" s="2" t="s">
        <v>64</v>
      </c>
    </row>
    <row r="343" ht="15.75" customHeight="1">
      <c r="E343" s="10"/>
      <c r="F343" s="11"/>
      <c r="G343" s="12"/>
      <c r="H343" s="12"/>
      <c r="K343" s="10">
        <f t="shared" si="7"/>
        <v>0</v>
      </c>
      <c r="L343" s="12">
        <f t="shared" si="2"/>
        <v>0</v>
      </c>
      <c r="M343" s="12" t="str">
        <f t="shared" si="6"/>
        <v/>
      </c>
      <c r="N343" s="12" t="str">
        <f t="shared" si="4"/>
        <v/>
      </c>
      <c r="O343" s="12" t="str">
        <f t="shared" si="5"/>
        <v/>
      </c>
      <c r="AI343" s="2" t="s">
        <v>64</v>
      </c>
    </row>
    <row r="344" ht="15.75" customHeight="1">
      <c r="E344" s="10"/>
      <c r="F344" s="11"/>
      <c r="G344" s="12"/>
      <c r="H344" s="12"/>
      <c r="K344" s="10">
        <f t="shared" si="7"/>
        <v>0</v>
      </c>
      <c r="L344" s="12">
        <f t="shared" si="2"/>
        <v>0</v>
      </c>
      <c r="M344" s="12" t="str">
        <f t="shared" si="6"/>
        <v/>
      </c>
      <c r="N344" s="12" t="str">
        <f t="shared" si="4"/>
        <v/>
      </c>
      <c r="O344" s="12" t="str">
        <f t="shared" si="5"/>
        <v/>
      </c>
      <c r="AI344" s="2" t="s">
        <v>64</v>
      </c>
    </row>
    <row r="345" ht="15.75" customHeight="1">
      <c r="E345" s="10"/>
      <c r="F345" s="11"/>
      <c r="G345" s="12"/>
      <c r="H345" s="12"/>
      <c r="K345" s="10">
        <f t="shared" si="7"/>
        <v>0</v>
      </c>
      <c r="L345" s="12">
        <f t="shared" si="2"/>
        <v>0</v>
      </c>
      <c r="M345" s="12" t="str">
        <f t="shared" si="6"/>
        <v/>
      </c>
      <c r="N345" s="12" t="str">
        <f t="shared" si="4"/>
        <v/>
      </c>
      <c r="O345" s="12" t="str">
        <f t="shared" si="5"/>
        <v/>
      </c>
      <c r="AI345" s="2" t="s">
        <v>64</v>
      </c>
    </row>
    <row r="346" ht="15.75" customHeight="1">
      <c r="E346" s="10"/>
      <c r="F346" s="11"/>
      <c r="G346" s="12"/>
      <c r="H346" s="12"/>
      <c r="K346" s="10">
        <f t="shared" si="7"/>
        <v>0</v>
      </c>
      <c r="L346" s="12">
        <f t="shared" si="2"/>
        <v>0</v>
      </c>
      <c r="M346" s="12" t="str">
        <f t="shared" si="6"/>
        <v/>
      </c>
      <c r="N346" s="12" t="str">
        <f t="shared" si="4"/>
        <v/>
      </c>
      <c r="O346" s="12" t="str">
        <f t="shared" si="5"/>
        <v/>
      </c>
      <c r="AI346" s="2" t="s">
        <v>64</v>
      </c>
    </row>
    <row r="347" ht="15.75" customHeight="1">
      <c r="E347" s="10"/>
      <c r="F347" s="11"/>
      <c r="G347" s="12"/>
      <c r="H347" s="12"/>
      <c r="K347" s="10">
        <f t="shared" si="7"/>
        <v>0</v>
      </c>
      <c r="L347" s="12">
        <f t="shared" si="2"/>
        <v>0</v>
      </c>
      <c r="M347" s="12" t="str">
        <f t="shared" si="6"/>
        <v/>
      </c>
      <c r="N347" s="12" t="str">
        <f t="shared" si="4"/>
        <v/>
      </c>
      <c r="O347" s="12" t="str">
        <f t="shared" si="5"/>
        <v/>
      </c>
      <c r="AI347" s="2" t="s">
        <v>64</v>
      </c>
    </row>
    <row r="348" ht="15.75" customHeight="1">
      <c r="E348" s="10"/>
      <c r="F348" s="11"/>
      <c r="G348" s="12"/>
      <c r="H348" s="12"/>
      <c r="K348" s="10">
        <f t="shared" si="7"/>
        <v>0</v>
      </c>
      <c r="L348" s="12">
        <f t="shared" si="2"/>
        <v>0</v>
      </c>
      <c r="M348" s="12" t="str">
        <f t="shared" si="6"/>
        <v/>
      </c>
      <c r="N348" s="12" t="str">
        <f t="shared" si="4"/>
        <v/>
      </c>
      <c r="O348" s="12" t="str">
        <f t="shared" si="5"/>
        <v/>
      </c>
      <c r="AI348" s="2" t="s">
        <v>64</v>
      </c>
    </row>
    <row r="349" ht="15.75" customHeight="1">
      <c r="E349" s="10"/>
      <c r="F349" s="11"/>
      <c r="G349" s="12"/>
      <c r="H349" s="12"/>
      <c r="K349" s="10">
        <f t="shared" si="7"/>
        <v>0</v>
      </c>
      <c r="L349" s="12">
        <f t="shared" si="2"/>
        <v>0</v>
      </c>
      <c r="M349" s="12" t="str">
        <f t="shared" si="6"/>
        <v/>
      </c>
      <c r="N349" s="12" t="str">
        <f t="shared" si="4"/>
        <v/>
      </c>
      <c r="O349" s="12" t="str">
        <f t="shared" si="5"/>
        <v/>
      </c>
      <c r="AI349" s="2" t="s">
        <v>64</v>
      </c>
    </row>
    <row r="350" ht="15.75" customHeight="1">
      <c r="E350" s="10"/>
      <c r="F350" s="11"/>
      <c r="G350" s="12"/>
      <c r="H350" s="12"/>
      <c r="K350" s="10">
        <f t="shared" si="7"/>
        <v>0</v>
      </c>
      <c r="L350" s="12">
        <f t="shared" si="2"/>
        <v>0</v>
      </c>
      <c r="M350" s="12" t="str">
        <f t="shared" si="6"/>
        <v/>
      </c>
      <c r="N350" s="12" t="str">
        <f t="shared" si="4"/>
        <v/>
      </c>
      <c r="O350" s="12" t="str">
        <f t="shared" si="5"/>
        <v/>
      </c>
      <c r="AI350" s="2" t="s">
        <v>64</v>
      </c>
    </row>
    <row r="351" ht="15.75" customHeight="1">
      <c r="E351" s="10"/>
      <c r="F351" s="11"/>
      <c r="G351" s="12"/>
      <c r="H351" s="12"/>
      <c r="K351" s="10">
        <f t="shared" si="7"/>
        <v>0</v>
      </c>
      <c r="L351" s="12">
        <f t="shared" si="2"/>
        <v>0</v>
      </c>
      <c r="M351" s="12" t="str">
        <f t="shared" si="6"/>
        <v/>
      </c>
      <c r="N351" s="12" t="str">
        <f t="shared" si="4"/>
        <v/>
      </c>
      <c r="O351" s="12" t="str">
        <f t="shared" si="5"/>
        <v/>
      </c>
      <c r="AI351" s="2" t="s">
        <v>64</v>
      </c>
    </row>
    <row r="352" ht="15.75" customHeight="1">
      <c r="E352" s="10"/>
      <c r="F352" s="11"/>
      <c r="G352" s="12"/>
      <c r="H352" s="12"/>
      <c r="K352" s="10">
        <f t="shared" si="7"/>
        <v>0</v>
      </c>
      <c r="L352" s="12">
        <f t="shared" si="2"/>
        <v>0</v>
      </c>
      <c r="M352" s="12" t="str">
        <f t="shared" si="6"/>
        <v/>
      </c>
      <c r="N352" s="12" t="str">
        <f t="shared" si="4"/>
        <v/>
      </c>
      <c r="O352" s="12" t="str">
        <f t="shared" si="5"/>
        <v/>
      </c>
      <c r="AI352" s="2" t="s">
        <v>64</v>
      </c>
    </row>
    <row r="353" ht="15.75" customHeight="1">
      <c r="E353" s="10"/>
      <c r="F353" s="11"/>
      <c r="G353" s="12"/>
      <c r="H353" s="12"/>
      <c r="K353" s="10">
        <f t="shared" si="7"/>
        <v>0</v>
      </c>
      <c r="L353" s="12">
        <f t="shared" si="2"/>
        <v>0</v>
      </c>
      <c r="M353" s="12" t="str">
        <f t="shared" si="6"/>
        <v/>
      </c>
      <c r="N353" s="12" t="str">
        <f t="shared" si="4"/>
        <v/>
      </c>
      <c r="O353" s="12" t="str">
        <f t="shared" si="5"/>
        <v/>
      </c>
      <c r="AI353" s="2" t="s">
        <v>64</v>
      </c>
    </row>
    <row r="354" ht="15.75" customHeight="1">
      <c r="E354" s="10"/>
      <c r="F354" s="11"/>
      <c r="G354" s="12"/>
      <c r="H354" s="12"/>
      <c r="K354" s="10">
        <f t="shared" si="7"/>
        <v>0</v>
      </c>
      <c r="L354" s="12">
        <f t="shared" si="2"/>
        <v>0</v>
      </c>
      <c r="M354" s="12" t="str">
        <f t="shared" si="6"/>
        <v/>
      </c>
      <c r="N354" s="12" t="str">
        <f t="shared" si="4"/>
        <v/>
      </c>
      <c r="O354" s="12" t="str">
        <f t="shared" si="5"/>
        <v/>
      </c>
      <c r="AI354" s="2" t="s">
        <v>64</v>
      </c>
    </row>
    <row r="355" ht="15.75" customHeight="1">
      <c r="E355" s="10"/>
      <c r="F355" s="11"/>
      <c r="G355" s="12"/>
      <c r="H355" s="12"/>
      <c r="K355" s="10">
        <f t="shared" si="7"/>
        <v>0</v>
      </c>
      <c r="L355" s="12">
        <f t="shared" si="2"/>
        <v>0</v>
      </c>
      <c r="M355" s="12" t="str">
        <f t="shared" si="6"/>
        <v/>
      </c>
      <c r="N355" s="12" t="str">
        <f t="shared" si="4"/>
        <v/>
      </c>
      <c r="O355" s="12" t="str">
        <f t="shared" si="5"/>
        <v/>
      </c>
      <c r="AI355" s="2" t="s">
        <v>64</v>
      </c>
    </row>
    <row r="356" ht="15.75" customHeight="1">
      <c r="E356" s="10"/>
      <c r="F356" s="11"/>
      <c r="G356" s="12"/>
      <c r="H356" s="12"/>
      <c r="K356" s="10">
        <f t="shared" si="7"/>
        <v>0</v>
      </c>
      <c r="L356" s="12">
        <f t="shared" si="2"/>
        <v>0</v>
      </c>
      <c r="M356" s="12" t="str">
        <f t="shared" si="6"/>
        <v/>
      </c>
      <c r="N356" s="12" t="str">
        <f t="shared" si="4"/>
        <v/>
      </c>
      <c r="O356" s="12" t="str">
        <f t="shared" si="5"/>
        <v/>
      </c>
      <c r="AI356" s="2" t="s">
        <v>64</v>
      </c>
    </row>
    <row r="357" ht="15.75" customHeight="1">
      <c r="E357" s="10"/>
      <c r="F357" s="11"/>
      <c r="G357" s="12"/>
      <c r="H357" s="12"/>
      <c r="K357" s="10">
        <f t="shared" si="7"/>
        <v>0</v>
      </c>
      <c r="L357" s="12">
        <f t="shared" si="2"/>
        <v>0</v>
      </c>
      <c r="M357" s="12" t="str">
        <f t="shared" si="6"/>
        <v/>
      </c>
      <c r="N357" s="12" t="str">
        <f t="shared" si="4"/>
        <v/>
      </c>
      <c r="O357" s="12" t="str">
        <f t="shared" si="5"/>
        <v/>
      </c>
      <c r="AI357" s="2" t="s">
        <v>64</v>
      </c>
    </row>
    <row r="358" ht="15.75" customHeight="1">
      <c r="E358" s="10"/>
      <c r="F358" s="11"/>
      <c r="G358" s="12"/>
      <c r="H358" s="12"/>
      <c r="K358" s="10">
        <f t="shared" si="7"/>
        <v>0</v>
      </c>
      <c r="L358" s="12">
        <f t="shared" si="2"/>
        <v>0</v>
      </c>
      <c r="M358" s="12" t="str">
        <f t="shared" si="6"/>
        <v/>
      </c>
      <c r="N358" s="12" t="str">
        <f t="shared" si="4"/>
        <v/>
      </c>
      <c r="O358" s="12" t="str">
        <f t="shared" si="5"/>
        <v/>
      </c>
      <c r="AI358" s="2" t="s">
        <v>64</v>
      </c>
    </row>
    <row r="359" ht="15.75" customHeight="1">
      <c r="E359" s="10"/>
      <c r="F359" s="11"/>
      <c r="G359" s="12"/>
      <c r="H359" s="12"/>
      <c r="K359" s="10">
        <f t="shared" si="7"/>
        <v>0</v>
      </c>
      <c r="L359" s="12">
        <f t="shared" si="2"/>
        <v>0</v>
      </c>
      <c r="M359" s="12" t="str">
        <f t="shared" si="6"/>
        <v/>
      </c>
      <c r="N359" s="12" t="str">
        <f t="shared" si="4"/>
        <v/>
      </c>
      <c r="O359" s="12" t="str">
        <f t="shared" si="5"/>
        <v/>
      </c>
      <c r="AI359" s="2" t="s">
        <v>64</v>
      </c>
    </row>
    <row r="360" ht="15.75" customHeight="1">
      <c r="E360" s="10"/>
      <c r="F360" s="11"/>
      <c r="G360" s="12"/>
      <c r="H360" s="12"/>
      <c r="K360" s="10">
        <f t="shared" si="7"/>
        <v>0</v>
      </c>
      <c r="L360" s="12">
        <f t="shared" si="2"/>
        <v>0</v>
      </c>
      <c r="M360" s="12" t="str">
        <f t="shared" si="6"/>
        <v/>
      </c>
      <c r="N360" s="12" t="str">
        <f t="shared" si="4"/>
        <v/>
      </c>
      <c r="O360" s="12" t="str">
        <f t="shared" si="5"/>
        <v/>
      </c>
      <c r="AI360" s="2" t="s">
        <v>64</v>
      </c>
    </row>
    <row r="361" ht="15.75" customHeight="1">
      <c r="E361" s="10"/>
      <c r="F361" s="11"/>
      <c r="G361" s="12"/>
      <c r="H361" s="12"/>
      <c r="K361" s="10">
        <f t="shared" si="7"/>
        <v>0</v>
      </c>
      <c r="L361" s="12">
        <f t="shared" si="2"/>
        <v>0</v>
      </c>
      <c r="M361" s="12" t="str">
        <f t="shared" si="6"/>
        <v/>
      </c>
      <c r="N361" s="12" t="str">
        <f t="shared" si="4"/>
        <v/>
      </c>
      <c r="O361" s="12" t="str">
        <f t="shared" si="5"/>
        <v/>
      </c>
      <c r="AI361" s="2" t="s">
        <v>64</v>
      </c>
    </row>
    <row r="362" ht="15.75" customHeight="1">
      <c r="E362" s="10"/>
      <c r="F362" s="11"/>
      <c r="G362" s="12"/>
      <c r="H362" s="12"/>
      <c r="K362" s="10">
        <f t="shared" si="7"/>
        <v>0</v>
      </c>
      <c r="L362" s="12">
        <f t="shared" si="2"/>
        <v>0</v>
      </c>
      <c r="M362" s="12" t="str">
        <f t="shared" si="6"/>
        <v/>
      </c>
      <c r="N362" s="12" t="str">
        <f t="shared" si="4"/>
        <v/>
      </c>
      <c r="O362" s="12" t="str">
        <f t="shared" si="5"/>
        <v/>
      </c>
      <c r="AI362" s="2" t="s">
        <v>64</v>
      </c>
    </row>
    <row r="363" ht="15.75" customHeight="1">
      <c r="E363" s="10"/>
      <c r="F363" s="11"/>
      <c r="G363" s="12"/>
      <c r="H363" s="12"/>
      <c r="K363" s="10">
        <f t="shared" si="7"/>
        <v>0</v>
      </c>
      <c r="L363" s="12">
        <f t="shared" si="2"/>
        <v>0</v>
      </c>
      <c r="M363" s="12" t="str">
        <f t="shared" si="6"/>
        <v/>
      </c>
      <c r="N363" s="12" t="str">
        <f t="shared" si="4"/>
        <v/>
      </c>
      <c r="O363" s="12" t="str">
        <f t="shared" si="5"/>
        <v/>
      </c>
      <c r="AI363" s="2" t="s">
        <v>64</v>
      </c>
    </row>
    <row r="364" ht="15.75" customHeight="1">
      <c r="E364" s="10"/>
      <c r="F364" s="11"/>
      <c r="G364" s="12"/>
      <c r="H364" s="12"/>
      <c r="K364" s="10">
        <f t="shared" si="7"/>
        <v>0</v>
      </c>
      <c r="L364" s="12">
        <f t="shared" si="2"/>
        <v>0</v>
      </c>
      <c r="M364" s="12" t="str">
        <f t="shared" si="6"/>
        <v/>
      </c>
      <c r="N364" s="12" t="str">
        <f t="shared" si="4"/>
        <v/>
      </c>
      <c r="O364" s="12" t="str">
        <f t="shared" si="5"/>
        <v/>
      </c>
      <c r="AI364" s="2" t="s">
        <v>64</v>
      </c>
    </row>
    <row r="365" ht="15.75" customHeight="1">
      <c r="E365" s="10"/>
      <c r="F365" s="11"/>
      <c r="G365" s="12"/>
      <c r="H365" s="12"/>
      <c r="K365" s="10">
        <f t="shared" si="7"/>
        <v>0</v>
      </c>
      <c r="L365" s="12">
        <f t="shared" si="2"/>
        <v>0</v>
      </c>
      <c r="M365" s="12" t="str">
        <f t="shared" si="6"/>
        <v/>
      </c>
      <c r="N365" s="12" t="str">
        <f t="shared" si="4"/>
        <v/>
      </c>
      <c r="O365" s="12" t="str">
        <f t="shared" si="5"/>
        <v/>
      </c>
      <c r="AI365" s="2" t="s">
        <v>64</v>
      </c>
    </row>
    <row r="366" ht="15.75" customHeight="1">
      <c r="E366" s="10"/>
      <c r="F366" s="11"/>
      <c r="G366" s="12"/>
      <c r="H366" s="12"/>
      <c r="K366" s="10">
        <f t="shared" si="7"/>
        <v>0</v>
      </c>
      <c r="L366" s="12">
        <f t="shared" si="2"/>
        <v>0</v>
      </c>
      <c r="M366" s="12" t="str">
        <f t="shared" si="6"/>
        <v/>
      </c>
      <c r="N366" s="12" t="str">
        <f t="shared" si="4"/>
        <v/>
      </c>
      <c r="O366" s="12" t="str">
        <f t="shared" si="5"/>
        <v/>
      </c>
      <c r="AI366" s="2" t="s">
        <v>64</v>
      </c>
    </row>
    <row r="367" ht="15.75" customHeight="1">
      <c r="E367" s="10"/>
      <c r="F367" s="11"/>
      <c r="G367" s="12"/>
      <c r="H367" s="12"/>
      <c r="K367" s="10">
        <f t="shared" si="7"/>
        <v>0</v>
      </c>
      <c r="L367" s="12">
        <f t="shared" si="2"/>
        <v>0</v>
      </c>
      <c r="M367" s="12" t="str">
        <f t="shared" si="6"/>
        <v/>
      </c>
      <c r="N367" s="12" t="str">
        <f t="shared" si="4"/>
        <v/>
      </c>
      <c r="O367" s="12" t="str">
        <f t="shared" si="5"/>
        <v/>
      </c>
      <c r="AI367" s="2" t="s">
        <v>64</v>
      </c>
    </row>
    <row r="368" ht="15.75" customHeight="1">
      <c r="E368" s="10"/>
      <c r="F368" s="11"/>
      <c r="G368" s="12"/>
      <c r="H368" s="12"/>
      <c r="K368" s="10">
        <f t="shared" si="7"/>
        <v>0</v>
      </c>
      <c r="L368" s="12">
        <f t="shared" si="2"/>
        <v>0</v>
      </c>
      <c r="M368" s="12" t="str">
        <f t="shared" si="6"/>
        <v/>
      </c>
      <c r="N368" s="12" t="str">
        <f t="shared" si="4"/>
        <v/>
      </c>
      <c r="O368" s="12" t="str">
        <f t="shared" si="5"/>
        <v/>
      </c>
      <c r="AI368" s="2" t="s">
        <v>64</v>
      </c>
    </row>
    <row r="369" ht="15.75" customHeight="1">
      <c r="E369" s="10"/>
      <c r="F369" s="11"/>
      <c r="G369" s="12"/>
      <c r="H369" s="12"/>
      <c r="K369" s="10">
        <f t="shared" si="7"/>
        <v>0</v>
      </c>
      <c r="L369" s="12">
        <f t="shared" si="2"/>
        <v>0</v>
      </c>
      <c r="M369" s="12" t="str">
        <f t="shared" si="6"/>
        <v/>
      </c>
      <c r="N369" s="12" t="str">
        <f t="shared" si="4"/>
        <v/>
      </c>
      <c r="O369" s="12" t="str">
        <f t="shared" si="5"/>
        <v/>
      </c>
      <c r="AI369" s="2" t="s">
        <v>64</v>
      </c>
    </row>
    <row r="370" ht="15.75" customHeight="1">
      <c r="E370" s="10"/>
      <c r="F370" s="11"/>
      <c r="G370" s="12"/>
      <c r="H370" s="12"/>
      <c r="K370" s="10">
        <f t="shared" si="7"/>
        <v>0</v>
      </c>
      <c r="L370" s="12">
        <f t="shared" si="2"/>
        <v>0</v>
      </c>
      <c r="M370" s="12" t="str">
        <f t="shared" si="6"/>
        <v/>
      </c>
      <c r="N370" s="12" t="str">
        <f t="shared" si="4"/>
        <v/>
      </c>
      <c r="O370" s="12" t="str">
        <f t="shared" si="5"/>
        <v/>
      </c>
      <c r="AI370" s="2" t="s">
        <v>64</v>
      </c>
    </row>
    <row r="371" ht="15.75" customHeight="1">
      <c r="E371" s="10"/>
      <c r="F371" s="11"/>
      <c r="G371" s="12"/>
      <c r="H371" s="12"/>
      <c r="K371" s="10">
        <f t="shared" si="7"/>
        <v>0</v>
      </c>
      <c r="L371" s="12">
        <f t="shared" si="2"/>
        <v>0</v>
      </c>
      <c r="M371" s="12" t="str">
        <f t="shared" si="6"/>
        <v/>
      </c>
      <c r="N371" s="12" t="str">
        <f t="shared" si="4"/>
        <v/>
      </c>
      <c r="O371" s="12" t="str">
        <f t="shared" si="5"/>
        <v/>
      </c>
      <c r="AI371" s="2" t="s">
        <v>64</v>
      </c>
    </row>
    <row r="372" ht="15.75" customHeight="1">
      <c r="E372" s="10"/>
      <c r="F372" s="11"/>
      <c r="G372" s="12"/>
      <c r="H372" s="12"/>
      <c r="K372" s="10">
        <f t="shared" si="7"/>
        <v>0</v>
      </c>
      <c r="L372" s="12">
        <f t="shared" si="2"/>
        <v>0</v>
      </c>
      <c r="M372" s="12" t="str">
        <f t="shared" si="6"/>
        <v/>
      </c>
      <c r="N372" s="12" t="str">
        <f t="shared" si="4"/>
        <v/>
      </c>
      <c r="O372" s="12" t="str">
        <f t="shared" si="5"/>
        <v/>
      </c>
      <c r="AI372" s="2" t="s">
        <v>64</v>
      </c>
    </row>
    <row r="373" ht="15.75" customHeight="1">
      <c r="E373" s="10"/>
      <c r="F373" s="11"/>
      <c r="G373" s="12"/>
      <c r="H373" s="12"/>
      <c r="K373" s="10">
        <f t="shared" si="7"/>
        <v>0</v>
      </c>
      <c r="L373" s="12">
        <f t="shared" si="2"/>
        <v>0</v>
      </c>
      <c r="M373" s="12" t="str">
        <f t="shared" si="6"/>
        <v/>
      </c>
      <c r="N373" s="12" t="str">
        <f t="shared" si="4"/>
        <v/>
      </c>
      <c r="O373" s="12" t="str">
        <f t="shared" si="5"/>
        <v/>
      </c>
      <c r="AI373" s="2" t="s">
        <v>64</v>
      </c>
    </row>
    <row r="374" ht="15.75" customHeight="1">
      <c r="E374" s="10"/>
      <c r="F374" s="11"/>
      <c r="G374" s="12"/>
      <c r="H374" s="12"/>
      <c r="K374" s="10">
        <f t="shared" si="7"/>
        <v>0</v>
      </c>
      <c r="L374" s="12">
        <f t="shared" si="2"/>
        <v>0</v>
      </c>
      <c r="M374" s="12" t="str">
        <f t="shared" si="6"/>
        <v/>
      </c>
      <c r="N374" s="12" t="str">
        <f t="shared" si="4"/>
        <v/>
      </c>
      <c r="O374" s="12" t="str">
        <f t="shared" si="5"/>
        <v/>
      </c>
      <c r="AI374" s="2" t="s">
        <v>64</v>
      </c>
    </row>
    <row r="375" ht="15.75" customHeight="1">
      <c r="E375" s="10"/>
      <c r="F375" s="11"/>
      <c r="G375" s="12"/>
      <c r="H375" s="12"/>
      <c r="K375" s="10">
        <f t="shared" si="7"/>
        <v>0</v>
      </c>
      <c r="L375" s="12">
        <f t="shared" si="2"/>
        <v>0</v>
      </c>
      <c r="M375" s="12" t="str">
        <f t="shared" si="6"/>
        <v/>
      </c>
      <c r="N375" s="12" t="str">
        <f t="shared" si="4"/>
        <v/>
      </c>
      <c r="O375" s="12" t="str">
        <f t="shared" si="5"/>
        <v/>
      </c>
      <c r="AI375" s="2" t="s">
        <v>64</v>
      </c>
    </row>
    <row r="376" ht="15.75" customHeight="1">
      <c r="E376" s="10"/>
      <c r="F376" s="11"/>
      <c r="G376" s="12"/>
      <c r="H376" s="12"/>
      <c r="K376" s="10">
        <f t="shared" si="7"/>
        <v>0</v>
      </c>
      <c r="L376" s="12">
        <f t="shared" si="2"/>
        <v>0</v>
      </c>
      <c r="M376" s="12" t="str">
        <f t="shared" si="6"/>
        <v/>
      </c>
      <c r="N376" s="12" t="str">
        <f t="shared" si="4"/>
        <v/>
      </c>
      <c r="O376" s="12" t="str">
        <f t="shared" si="5"/>
        <v/>
      </c>
      <c r="AI376" s="2" t="s">
        <v>64</v>
      </c>
    </row>
    <row r="377" ht="15.75" customHeight="1">
      <c r="E377" s="10"/>
      <c r="F377" s="11"/>
      <c r="G377" s="12"/>
      <c r="H377" s="12"/>
      <c r="K377" s="10">
        <f t="shared" si="7"/>
        <v>0</v>
      </c>
      <c r="L377" s="12">
        <f t="shared" si="2"/>
        <v>0</v>
      </c>
      <c r="M377" s="12" t="str">
        <f t="shared" si="6"/>
        <v/>
      </c>
      <c r="N377" s="12" t="str">
        <f t="shared" si="4"/>
        <v/>
      </c>
      <c r="O377" s="12" t="str">
        <f t="shared" si="5"/>
        <v/>
      </c>
      <c r="AI377" s="2" t="s">
        <v>64</v>
      </c>
    </row>
    <row r="378" ht="15.75" customHeight="1">
      <c r="E378" s="10"/>
      <c r="F378" s="11"/>
      <c r="G378" s="12"/>
      <c r="H378" s="12"/>
      <c r="K378" s="10">
        <f t="shared" si="7"/>
        <v>0</v>
      </c>
      <c r="L378" s="12">
        <f t="shared" si="2"/>
        <v>0</v>
      </c>
      <c r="M378" s="12" t="str">
        <f t="shared" si="6"/>
        <v/>
      </c>
      <c r="N378" s="12" t="str">
        <f t="shared" si="4"/>
        <v/>
      </c>
      <c r="O378" s="12" t="str">
        <f t="shared" si="5"/>
        <v/>
      </c>
      <c r="AI378" s="2" t="s">
        <v>64</v>
      </c>
    </row>
    <row r="379" ht="15.75" customHeight="1">
      <c r="E379" s="10"/>
      <c r="F379" s="11"/>
      <c r="G379" s="12"/>
      <c r="H379" s="12"/>
      <c r="K379" s="10">
        <f t="shared" si="7"/>
        <v>0</v>
      </c>
      <c r="L379" s="12">
        <f t="shared" si="2"/>
        <v>0</v>
      </c>
      <c r="M379" s="12" t="str">
        <f t="shared" si="6"/>
        <v/>
      </c>
      <c r="N379" s="12" t="str">
        <f t="shared" si="4"/>
        <v/>
      </c>
      <c r="O379" s="12" t="str">
        <f t="shared" si="5"/>
        <v/>
      </c>
      <c r="AI379" s="2" t="s">
        <v>64</v>
      </c>
    </row>
    <row r="380" ht="15.75" customHeight="1">
      <c r="E380" s="10"/>
      <c r="F380" s="11"/>
      <c r="G380" s="12"/>
      <c r="H380" s="12"/>
      <c r="K380" s="10">
        <f t="shared" si="7"/>
        <v>0</v>
      </c>
      <c r="L380" s="12">
        <f t="shared" si="2"/>
        <v>0</v>
      </c>
      <c r="M380" s="12" t="str">
        <f t="shared" si="6"/>
        <v/>
      </c>
      <c r="N380" s="12" t="str">
        <f t="shared" si="4"/>
        <v/>
      </c>
      <c r="O380" s="12" t="str">
        <f t="shared" si="5"/>
        <v/>
      </c>
      <c r="AI380" s="2" t="s">
        <v>64</v>
      </c>
    </row>
    <row r="381" ht="15.75" customHeight="1">
      <c r="E381" s="10"/>
      <c r="F381" s="11"/>
      <c r="G381" s="12"/>
      <c r="H381" s="12"/>
      <c r="K381" s="10">
        <f t="shared" si="7"/>
        <v>0</v>
      </c>
      <c r="L381" s="12">
        <f t="shared" si="2"/>
        <v>0</v>
      </c>
      <c r="M381" s="12" t="str">
        <f t="shared" si="6"/>
        <v/>
      </c>
      <c r="N381" s="12" t="str">
        <f t="shared" si="4"/>
        <v/>
      </c>
      <c r="O381" s="12" t="str">
        <f t="shared" si="5"/>
        <v/>
      </c>
      <c r="AI381" s="2" t="s">
        <v>64</v>
      </c>
    </row>
    <row r="382" ht="15.75" customHeight="1">
      <c r="E382" s="10"/>
      <c r="F382" s="11"/>
      <c r="G382" s="12"/>
      <c r="H382" s="12"/>
      <c r="K382" s="10">
        <f t="shared" si="7"/>
        <v>0</v>
      </c>
      <c r="L382" s="12">
        <f t="shared" si="2"/>
        <v>0</v>
      </c>
      <c r="M382" s="12" t="str">
        <f t="shared" si="6"/>
        <v/>
      </c>
      <c r="N382" s="12" t="str">
        <f t="shared" si="4"/>
        <v/>
      </c>
      <c r="O382" s="12" t="str">
        <f t="shared" si="5"/>
        <v/>
      </c>
      <c r="AI382" s="2" t="s">
        <v>64</v>
      </c>
    </row>
    <row r="383" ht="15.75" customHeight="1">
      <c r="E383" s="10"/>
      <c r="F383" s="11"/>
      <c r="G383" s="12"/>
      <c r="H383" s="12"/>
      <c r="K383" s="10">
        <f t="shared" si="7"/>
        <v>0</v>
      </c>
      <c r="L383" s="12">
        <f t="shared" si="2"/>
        <v>0</v>
      </c>
      <c r="M383" s="12" t="str">
        <f t="shared" si="6"/>
        <v/>
      </c>
      <c r="N383" s="12" t="str">
        <f t="shared" si="4"/>
        <v/>
      </c>
      <c r="O383" s="12" t="str">
        <f t="shared" si="5"/>
        <v/>
      </c>
      <c r="AI383" s="2" t="s">
        <v>64</v>
      </c>
    </row>
    <row r="384" ht="15.75" customHeight="1">
      <c r="E384" s="10"/>
      <c r="F384" s="11"/>
      <c r="G384" s="12"/>
      <c r="H384" s="12"/>
      <c r="K384" s="10">
        <f t="shared" si="7"/>
        <v>0</v>
      </c>
      <c r="L384" s="12">
        <f t="shared" si="2"/>
        <v>0</v>
      </c>
      <c r="M384" s="12" t="str">
        <f t="shared" si="6"/>
        <v/>
      </c>
      <c r="N384" s="12" t="str">
        <f t="shared" si="4"/>
        <v/>
      </c>
      <c r="O384" s="12" t="str">
        <f t="shared" si="5"/>
        <v/>
      </c>
      <c r="AI384" s="2" t="s">
        <v>64</v>
      </c>
    </row>
    <row r="385" ht="15.75" customHeight="1">
      <c r="E385" s="10"/>
      <c r="F385" s="11"/>
      <c r="G385" s="12"/>
      <c r="H385" s="12"/>
      <c r="K385" s="10">
        <f t="shared" si="7"/>
        <v>0</v>
      </c>
      <c r="L385" s="12">
        <f t="shared" si="2"/>
        <v>0</v>
      </c>
      <c r="M385" s="12" t="str">
        <f t="shared" si="6"/>
        <v/>
      </c>
      <c r="N385" s="12" t="str">
        <f t="shared" si="4"/>
        <v/>
      </c>
      <c r="O385" s="12" t="str">
        <f t="shared" si="5"/>
        <v/>
      </c>
      <c r="AI385" s="2" t="s">
        <v>64</v>
      </c>
    </row>
    <row r="386" ht="15.75" customHeight="1">
      <c r="E386" s="10"/>
      <c r="F386" s="11"/>
      <c r="G386" s="12"/>
      <c r="H386" s="12"/>
      <c r="K386" s="10">
        <f t="shared" si="7"/>
        <v>0</v>
      </c>
      <c r="L386" s="12">
        <f t="shared" si="2"/>
        <v>0</v>
      </c>
      <c r="M386" s="12" t="str">
        <f t="shared" si="6"/>
        <v/>
      </c>
      <c r="N386" s="12" t="str">
        <f t="shared" si="4"/>
        <v/>
      </c>
      <c r="O386" s="12" t="str">
        <f t="shared" si="5"/>
        <v/>
      </c>
      <c r="AI386" s="2" t="s">
        <v>64</v>
      </c>
    </row>
    <row r="387" ht="15.75" customHeight="1">
      <c r="E387" s="10"/>
      <c r="F387" s="11"/>
      <c r="G387" s="12"/>
      <c r="H387" s="12"/>
      <c r="K387" s="10">
        <f t="shared" si="7"/>
        <v>0</v>
      </c>
      <c r="L387" s="12">
        <f t="shared" si="2"/>
        <v>0</v>
      </c>
      <c r="M387" s="12" t="str">
        <f t="shared" si="6"/>
        <v/>
      </c>
      <c r="N387" s="12" t="str">
        <f t="shared" si="4"/>
        <v/>
      </c>
      <c r="O387" s="12" t="str">
        <f t="shared" si="5"/>
        <v/>
      </c>
      <c r="AI387" s="2" t="s">
        <v>64</v>
      </c>
    </row>
    <row r="388" ht="15.75" customHeight="1">
      <c r="E388" s="10"/>
      <c r="F388" s="11"/>
      <c r="G388" s="12"/>
      <c r="H388" s="12"/>
      <c r="K388" s="10">
        <f t="shared" si="7"/>
        <v>0</v>
      </c>
      <c r="L388" s="12">
        <f t="shared" si="2"/>
        <v>0</v>
      </c>
      <c r="M388" s="12" t="str">
        <f t="shared" si="6"/>
        <v/>
      </c>
      <c r="N388" s="12" t="str">
        <f t="shared" si="4"/>
        <v/>
      </c>
      <c r="O388" s="12" t="str">
        <f t="shared" si="5"/>
        <v/>
      </c>
      <c r="AI388" s="2" t="s">
        <v>64</v>
      </c>
    </row>
    <row r="389" ht="15.75" customHeight="1">
      <c r="E389" s="10"/>
      <c r="F389" s="11"/>
      <c r="G389" s="12"/>
      <c r="H389" s="12"/>
      <c r="K389" s="10">
        <f t="shared" si="7"/>
        <v>0</v>
      </c>
      <c r="L389" s="12">
        <f t="shared" si="2"/>
        <v>0</v>
      </c>
      <c r="M389" s="12" t="str">
        <f t="shared" si="6"/>
        <v/>
      </c>
      <c r="N389" s="12" t="str">
        <f t="shared" si="4"/>
        <v/>
      </c>
      <c r="O389" s="12" t="str">
        <f t="shared" si="5"/>
        <v/>
      </c>
      <c r="AI389" s="2" t="s">
        <v>64</v>
      </c>
    </row>
    <row r="390" ht="15.75" customHeight="1">
      <c r="E390" s="10"/>
      <c r="F390" s="11"/>
      <c r="G390" s="12"/>
      <c r="H390" s="12"/>
      <c r="K390" s="10">
        <f t="shared" si="7"/>
        <v>0</v>
      </c>
      <c r="L390" s="12">
        <f t="shared" si="2"/>
        <v>0</v>
      </c>
      <c r="M390" s="12" t="str">
        <f t="shared" si="6"/>
        <v/>
      </c>
      <c r="N390" s="12" t="str">
        <f t="shared" si="4"/>
        <v/>
      </c>
      <c r="O390" s="12" t="str">
        <f t="shared" si="5"/>
        <v/>
      </c>
      <c r="AI390" s="2" t="s">
        <v>64</v>
      </c>
    </row>
    <row r="391" ht="15.75" customHeight="1">
      <c r="E391" s="10"/>
      <c r="F391" s="11"/>
      <c r="G391" s="12"/>
      <c r="H391" s="12"/>
      <c r="K391" s="10">
        <f t="shared" si="7"/>
        <v>0</v>
      </c>
      <c r="L391" s="12">
        <f t="shared" si="2"/>
        <v>0</v>
      </c>
      <c r="M391" s="12" t="str">
        <f t="shared" si="6"/>
        <v/>
      </c>
      <c r="N391" s="12" t="str">
        <f t="shared" si="4"/>
        <v/>
      </c>
      <c r="O391" s="12" t="str">
        <f t="shared" si="5"/>
        <v/>
      </c>
      <c r="AI391" s="2" t="s">
        <v>64</v>
      </c>
    </row>
    <row r="392" ht="15.75" customHeight="1">
      <c r="E392" s="10"/>
      <c r="F392" s="11"/>
      <c r="G392" s="12"/>
      <c r="H392" s="12"/>
      <c r="K392" s="10">
        <f t="shared" si="7"/>
        <v>0</v>
      </c>
      <c r="L392" s="12">
        <f t="shared" si="2"/>
        <v>0</v>
      </c>
      <c r="M392" s="12" t="str">
        <f t="shared" si="6"/>
        <v/>
      </c>
      <c r="N392" s="12" t="str">
        <f t="shared" si="4"/>
        <v/>
      </c>
      <c r="O392" s="12" t="str">
        <f t="shared" si="5"/>
        <v/>
      </c>
      <c r="AI392" s="2" t="s">
        <v>64</v>
      </c>
    </row>
    <row r="393" ht="15.75" customHeight="1">
      <c r="E393" s="10"/>
      <c r="F393" s="11"/>
      <c r="G393" s="12"/>
      <c r="H393" s="12"/>
      <c r="K393" s="10">
        <f t="shared" si="7"/>
        <v>0</v>
      </c>
      <c r="L393" s="12">
        <f t="shared" si="2"/>
        <v>0</v>
      </c>
      <c r="M393" s="12" t="str">
        <f t="shared" si="6"/>
        <v/>
      </c>
      <c r="N393" s="12" t="str">
        <f t="shared" si="4"/>
        <v/>
      </c>
      <c r="O393" s="12" t="str">
        <f t="shared" si="5"/>
        <v/>
      </c>
      <c r="AI393" s="2" t="s">
        <v>64</v>
      </c>
    </row>
    <row r="394" ht="15.75" customHeight="1">
      <c r="E394" s="10"/>
      <c r="F394" s="11"/>
      <c r="G394" s="12"/>
      <c r="H394" s="12"/>
      <c r="K394" s="10">
        <f t="shared" si="7"/>
        <v>0</v>
      </c>
      <c r="L394" s="12">
        <f t="shared" si="2"/>
        <v>0</v>
      </c>
      <c r="M394" s="12" t="str">
        <f t="shared" si="6"/>
        <v/>
      </c>
      <c r="N394" s="12" t="str">
        <f t="shared" si="4"/>
        <v/>
      </c>
      <c r="O394" s="12" t="str">
        <f t="shared" si="5"/>
        <v/>
      </c>
      <c r="AI394" s="2" t="s">
        <v>64</v>
      </c>
    </row>
    <row r="395" ht="15.75" customHeight="1">
      <c r="E395" s="10"/>
      <c r="F395" s="11"/>
      <c r="G395" s="12"/>
      <c r="H395" s="12"/>
      <c r="K395" s="10">
        <f t="shared" si="7"/>
        <v>0</v>
      </c>
      <c r="L395" s="12">
        <f t="shared" si="2"/>
        <v>0</v>
      </c>
      <c r="M395" s="12" t="str">
        <f t="shared" si="6"/>
        <v/>
      </c>
      <c r="N395" s="12" t="str">
        <f t="shared" si="4"/>
        <v/>
      </c>
      <c r="O395" s="12" t="str">
        <f t="shared" si="5"/>
        <v/>
      </c>
      <c r="AI395" s="2" t="s">
        <v>64</v>
      </c>
    </row>
    <row r="396" ht="15.75" customHeight="1">
      <c r="E396" s="10"/>
      <c r="F396" s="11"/>
      <c r="G396" s="12"/>
      <c r="H396" s="12"/>
      <c r="K396" s="10">
        <f t="shared" si="7"/>
        <v>0</v>
      </c>
      <c r="L396" s="12">
        <f t="shared" si="2"/>
        <v>0</v>
      </c>
      <c r="M396" s="12" t="str">
        <f t="shared" si="6"/>
        <v/>
      </c>
      <c r="N396" s="12" t="str">
        <f t="shared" si="4"/>
        <v/>
      </c>
      <c r="O396" s="12" t="str">
        <f t="shared" si="5"/>
        <v/>
      </c>
      <c r="AI396" s="2" t="s">
        <v>64</v>
      </c>
    </row>
    <row r="397" ht="15.75" customHeight="1">
      <c r="E397" s="10"/>
      <c r="F397" s="11"/>
      <c r="G397" s="12"/>
      <c r="H397" s="12"/>
      <c r="K397" s="10">
        <f t="shared" si="7"/>
        <v>0</v>
      </c>
      <c r="L397" s="12">
        <f t="shared" si="2"/>
        <v>0</v>
      </c>
      <c r="M397" s="12" t="str">
        <f t="shared" si="6"/>
        <v/>
      </c>
      <c r="N397" s="12" t="str">
        <f t="shared" si="4"/>
        <v/>
      </c>
      <c r="O397" s="12" t="str">
        <f t="shared" si="5"/>
        <v/>
      </c>
      <c r="AI397" s="2" t="s">
        <v>64</v>
      </c>
    </row>
    <row r="398" ht="15.75" customHeight="1">
      <c r="E398" s="10"/>
      <c r="F398" s="11"/>
      <c r="G398" s="12"/>
      <c r="H398" s="12"/>
      <c r="K398" s="10">
        <f t="shared" si="7"/>
        <v>0</v>
      </c>
      <c r="L398" s="12">
        <f t="shared" si="2"/>
        <v>0</v>
      </c>
      <c r="M398" s="12" t="str">
        <f t="shared" si="6"/>
        <v/>
      </c>
      <c r="N398" s="12" t="str">
        <f t="shared" si="4"/>
        <v/>
      </c>
      <c r="O398" s="12" t="str">
        <f t="shared" si="5"/>
        <v/>
      </c>
      <c r="AI398" s="2" t="s">
        <v>64</v>
      </c>
    </row>
    <row r="399" ht="15.75" customHeight="1">
      <c r="E399" s="10"/>
      <c r="F399" s="11"/>
      <c r="G399" s="12"/>
      <c r="H399" s="12"/>
      <c r="K399" s="10">
        <f t="shared" si="7"/>
        <v>0</v>
      </c>
      <c r="L399" s="12">
        <f t="shared" si="2"/>
        <v>0</v>
      </c>
      <c r="M399" s="12" t="str">
        <f t="shared" si="6"/>
        <v/>
      </c>
      <c r="N399" s="12" t="str">
        <f t="shared" si="4"/>
        <v/>
      </c>
      <c r="O399" s="12" t="str">
        <f t="shared" si="5"/>
        <v/>
      </c>
      <c r="AI399" s="2" t="s">
        <v>64</v>
      </c>
    </row>
    <row r="400" ht="15.75" customHeight="1">
      <c r="E400" s="10"/>
      <c r="F400" s="11"/>
      <c r="G400" s="12"/>
      <c r="H400" s="12"/>
      <c r="K400" s="10">
        <f t="shared" si="7"/>
        <v>0</v>
      </c>
      <c r="L400" s="12">
        <f t="shared" si="2"/>
        <v>0</v>
      </c>
      <c r="M400" s="12" t="str">
        <f t="shared" si="6"/>
        <v/>
      </c>
      <c r="N400" s="12" t="str">
        <f t="shared" si="4"/>
        <v/>
      </c>
      <c r="O400" s="12" t="str">
        <f t="shared" si="5"/>
        <v/>
      </c>
      <c r="AI400" s="2" t="s">
        <v>64</v>
      </c>
    </row>
    <row r="401" ht="15.75" customHeight="1">
      <c r="E401" s="10"/>
      <c r="F401" s="11"/>
      <c r="G401" s="12"/>
      <c r="H401" s="12"/>
      <c r="K401" s="10">
        <f t="shared" si="7"/>
        <v>0</v>
      </c>
      <c r="L401" s="12">
        <f t="shared" si="2"/>
        <v>0</v>
      </c>
      <c r="M401" s="12" t="str">
        <f t="shared" si="6"/>
        <v/>
      </c>
      <c r="N401" s="12" t="str">
        <f t="shared" si="4"/>
        <v/>
      </c>
      <c r="O401" s="12" t="str">
        <f t="shared" si="5"/>
        <v/>
      </c>
      <c r="AI401" s="2" t="s">
        <v>64</v>
      </c>
    </row>
    <row r="402" ht="15.75" customHeight="1">
      <c r="E402" s="10"/>
      <c r="F402" s="11"/>
      <c r="G402" s="12"/>
      <c r="H402" s="12"/>
      <c r="K402" s="10">
        <f t="shared" si="7"/>
        <v>0</v>
      </c>
      <c r="L402" s="12">
        <f t="shared" si="2"/>
        <v>0</v>
      </c>
      <c r="M402" s="12" t="str">
        <f t="shared" si="6"/>
        <v/>
      </c>
      <c r="N402" s="12" t="str">
        <f t="shared" si="4"/>
        <v/>
      </c>
      <c r="O402" s="12" t="str">
        <f t="shared" si="5"/>
        <v/>
      </c>
      <c r="AI402" s="2" t="s">
        <v>64</v>
      </c>
    </row>
    <row r="403" ht="15.75" customHeight="1">
      <c r="E403" s="10"/>
      <c r="F403" s="11"/>
      <c r="G403" s="12"/>
      <c r="H403" s="12"/>
      <c r="K403" s="10">
        <f t="shared" si="7"/>
        <v>0</v>
      </c>
      <c r="L403" s="12">
        <f t="shared" si="2"/>
        <v>0</v>
      </c>
      <c r="M403" s="12" t="str">
        <f t="shared" si="6"/>
        <v/>
      </c>
      <c r="N403" s="12" t="str">
        <f t="shared" si="4"/>
        <v/>
      </c>
      <c r="O403" s="12" t="str">
        <f t="shared" si="5"/>
        <v/>
      </c>
      <c r="AI403" s="2" t="s">
        <v>64</v>
      </c>
    </row>
    <row r="404" ht="15.75" customHeight="1">
      <c r="E404" s="10"/>
      <c r="F404" s="11"/>
      <c r="G404" s="12"/>
      <c r="H404" s="12"/>
      <c r="K404" s="10">
        <f t="shared" si="7"/>
        <v>0</v>
      </c>
      <c r="L404" s="12">
        <f t="shared" si="2"/>
        <v>0</v>
      </c>
      <c r="M404" s="12" t="str">
        <f t="shared" si="6"/>
        <v/>
      </c>
      <c r="N404" s="12" t="str">
        <f t="shared" si="4"/>
        <v/>
      </c>
      <c r="O404" s="12" t="str">
        <f t="shared" si="5"/>
        <v/>
      </c>
      <c r="AI404" s="2" t="s">
        <v>64</v>
      </c>
    </row>
    <row r="405" ht="15.75" customHeight="1">
      <c r="E405" s="10"/>
      <c r="F405" s="11"/>
      <c r="G405" s="12"/>
      <c r="H405" s="12"/>
      <c r="K405" s="10">
        <f t="shared" si="7"/>
        <v>0</v>
      </c>
      <c r="L405" s="12">
        <f t="shared" si="2"/>
        <v>0</v>
      </c>
      <c r="M405" s="12" t="str">
        <f t="shared" si="6"/>
        <v/>
      </c>
      <c r="N405" s="12" t="str">
        <f t="shared" si="4"/>
        <v/>
      </c>
      <c r="O405" s="12" t="str">
        <f t="shared" si="5"/>
        <v/>
      </c>
      <c r="AI405" s="2" t="s">
        <v>64</v>
      </c>
    </row>
    <row r="406" ht="15.75" customHeight="1">
      <c r="E406" s="10"/>
      <c r="F406" s="11"/>
      <c r="G406" s="12"/>
      <c r="H406" s="12"/>
      <c r="K406" s="10">
        <f t="shared" si="7"/>
        <v>0</v>
      </c>
      <c r="L406" s="12">
        <f t="shared" si="2"/>
        <v>0</v>
      </c>
      <c r="M406" s="12" t="str">
        <f t="shared" si="6"/>
        <v/>
      </c>
      <c r="N406" s="12" t="str">
        <f t="shared" si="4"/>
        <v/>
      </c>
      <c r="O406" s="12" t="str">
        <f t="shared" si="5"/>
        <v/>
      </c>
      <c r="AI406" s="2" t="s">
        <v>64</v>
      </c>
    </row>
    <row r="407" ht="15.75" customHeight="1">
      <c r="E407" s="10"/>
      <c r="F407" s="11"/>
      <c r="G407" s="12"/>
      <c r="H407" s="12"/>
      <c r="K407" s="10">
        <f t="shared" si="7"/>
        <v>0</v>
      </c>
      <c r="L407" s="12">
        <f t="shared" si="2"/>
        <v>0</v>
      </c>
      <c r="M407" s="12" t="str">
        <f t="shared" si="6"/>
        <v/>
      </c>
      <c r="N407" s="12" t="str">
        <f t="shared" si="4"/>
        <v/>
      </c>
      <c r="O407" s="12" t="str">
        <f t="shared" si="5"/>
        <v/>
      </c>
      <c r="AI407" s="2" t="s">
        <v>64</v>
      </c>
    </row>
    <row r="408" ht="15.75" customHeight="1">
      <c r="E408" s="10"/>
      <c r="F408" s="11"/>
      <c r="G408" s="12"/>
      <c r="H408" s="12"/>
      <c r="K408" s="10">
        <f t="shared" si="7"/>
        <v>0</v>
      </c>
      <c r="L408" s="12">
        <f t="shared" si="2"/>
        <v>0</v>
      </c>
      <c r="M408" s="12" t="str">
        <f t="shared" si="6"/>
        <v/>
      </c>
      <c r="N408" s="12" t="str">
        <f t="shared" si="4"/>
        <v/>
      </c>
      <c r="O408" s="12" t="str">
        <f t="shared" si="5"/>
        <v/>
      </c>
      <c r="AI408" s="2" t="s">
        <v>64</v>
      </c>
    </row>
    <row r="409" ht="15.75" customHeight="1">
      <c r="E409" s="10"/>
      <c r="F409" s="11"/>
      <c r="G409" s="12"/>
      <c r="H409" s="12"/>
      <c r="K409" s="10">
        <f t="shared" si="7"/>
        <v>0</v>
      </c>
      <c r="L409" s="12">
        <f t="shared" si="2"/>
        <v>0</v>
      </c>
      <c r="M409" s="12" t="str">
        <f t="shared" si="6"/>
        <v/>
      </c>
      <c r="N409" s="12" t="str">
        <f t="shared" si="4"/>
        <v/>
      </c>
      <c r="O409" s="12" t="str">
        <f t="shared" si="5"/>
        <v/>
      </c>
      <c r="AI409" s="2" t="s">
        <v>64</v>
      </c>
    </row>
    <row r="410" ht="15.75" customHeight="1">
      <c r="E410" s="10"/>
      <c r="F410" s="11"/>
      <c r="G410" s="12"/>
      <c r="H410" s="12"/>
      <c r="K410" s="10">
        <f t="shared" si="7"/>
        <v>0</v>
      </c>
      <c r="L410" s="12">
        <f t="shared" si="2"/>
        <v>0</v>
      </c>
      <c r="M410" s="12" t="str">
        <f t="shared" si="6"/>
        <v/>
      </c>
      <c r="N410" s="12" t="str">
        <f t="shared" si="4"/>
        <v/>
      </c>
      <c r="O410" s="12" t="str">
        <f t="shared" si="5"/>
        <v/>
      </c>
      <c r="AI410" s="2" t="s">
        <v>64</v>
      </c>
    </row>
    <row r="411" ht="15.75" customHeight="1">
      <c r="E411" s="10"/>
      <c r="F411" s="11"/>
      <c r="G411" s="12"/>
      <c r="H411" s="12"/>
      <c r="K411" s="10">
        <f t="shared" si="7"/>
        <v>0</v>
      </c>
      <c r="L411" s="12">
        <f t="shared" si="2"/>
        <v>0</v>
      </c>
      <c r="M411" s="12" t="str">
        <f t="shared" si="6"/>
        <v/>
      </c>
      <c r="N411" s="12" t="str">
        <f t="shared" si="4"/>
        <v/>
      </c>
      <c r="O411" s="12" t="str">
        <f t="shared" si="5"/>
        <v/>
      </c>
      <c r="AI411" s="2" t="s">
        <v>64</v>
      </c>
    </row>
    <row r="412" ht="15.75" customHeight="1">
      <c r="E412" s="10"/>
      <c r="F412" s="11"/>
      <c r="G412" s="12"/>
      <c r="H412" s="12"/>
      <c r="K412" s="10">
        <f t="shared" si="7"/>
        <v>0</v>
      </c>
      <c r="L412" s="12">
        <f t="shared" si="2"/>
        <v>0</v>
      </c>
      <c r="M412" s="12" t="str">
        <f t="shared" si="6"/>
        <v/>
      </c>
      <c r="N412" s="12" t="str">
        <f t="shared" si="4"/>
        <v/>
      </c>
      <c r="O412" s="12" t="str">
        <f t="shared" si="5"/>
        <v/>
      </c>
      <c r="AI412" s="2" t="s">
        <v>64</v>
      </c>
    </row>
    <row r="413" ht="15.75" customHeight="1">
      <c r="E413" s="10"/>
      <c r="F413" s="11"/>
      <c r="G413" s="12"/>
      <c r="H413" s="12"/>
      <c r="K413" s="10">
        <f t="shared" si="7"/>
        <v>0</v>
      </c>
      <c r="L413" s="12">
        <f t="shared" si="2"/>
        <v>0</v>
      </c>
      <c r="M413" s="12" t="str">
        <f t="shared" si="6"/>
        <v/>
      </c>
      <c r="N413" s="12" t="str">
        <f t="shared" si="4"/>
        <v/>
      </c>
      <c r="O413" s="12" t="str">
        <f t="shared" si="5"/>
        <v/>
      </c>
      <c r="AI413" s="2" t="s">
        <v>64</v>
      </c>
    </row>
    <row r="414" ht="15.75" customHeight="1">
      <c r="E414" s="10"/>
      <c r="F414" s="11"/>
      <c r="G414" s="12"/>
      <c r="H414" s="12"/>
      <c r="K414" s="10">
        <f t="shared" si="7"/>
        <v>0</v>
      </c>
      <c r="L414" s="12">
        <f t="shared" si="2"/>
        <v>0</v>
      </c>
      <c r="M414" s="12" t="str">
        <f t="shared" si="6"/>
        <v/>
      </c>
      <c r="N414" s="12" t="str">
        <f t="shared" si="4"/>
        <v/>
      </c>
      <c r="O414" s="12" t="str">
        <f t="shared" si="5"/>
        <v/>
      </c>
      <c r="AI414" s="2" t="s">
        <v>64</v>
      </c>
    </row>
    <row r="415" ht="15.75" customHeight="1">
      <c r="E415" s="10"/>
      <c r="F415" s="11"/>
      <c r="G415" s="12"/>
      <c r="H415" s="12"/>
      <c r="K415" s="10">
        <f t="shared" si="7"/>
        <v>0</v>
      </c>
      <c r="L415" s="12">
        <f t="shared" si="2"/>
        <v>0</v>
      </c>
      <c r="M415" s="12" t="str">
        <f t="shared" si="6"/>
        <v/>
      </c>
      <c r="N415" s="12" t="str">
        <f t="shared" si="4"/>
        <v/>
      </c>
      <c r="O415" s="12" t="str">
        <f t="shared" si="5"/>
        <v/>
      </c>
      <c r="AI415" s="2" t="s">
        <v>64</v>
      </c>
    </row>
    <row r="416" ht="15.75" customHeight="1">
      <c r="E416" s="10"/>
      <c r="F416" s="11"/>
      <c r="G416" s="12"/>
      <c r="H416" s="12"/>
      <c r="K416" s="10">
        <f t="shared" si="7"/>
        <v>0</v>
      </c>
      <c r="L416" s="12">
        <f t="shared" si="2"/>
        <v>0</v>
      </c>
      <c r="M416" s="12" t="str">
        <f t="shared" si="6"/>
        <v/>
      </c>
      <c r="N416" s="12" t="str">
        <f t="shared" si="4"/>
        <v/>
      </c>
      <c r="O416" s="12" t="str">
        <f t="shared" si="5"/>
        <v/>
      </c>
      <c r="AI416" s="2" t="s">
        <v>64</v>
      </c>
    </row>
    <row r="417" ht="15.75" customHeight="1">
      <c r="E417" s="10"/>
      <c r="F417" s="11"/>
      <c r="G417" s="12"/>
      <c r="H417" s="12"/>
      <c r="K417" s="10">
        <f t="shared" si="7"/>
        <v>0</v>
      </c>
      <c r="L417" s="12">
        <f t="shared" si="2"/>
        <v>0</v>
      </c>
      <c r="M417" s="12" t="str">
        <f t="shared" si="6"/>
        <v/>
      </c>
      <c r="N417" s="12" t="str">
        <f t="shared" si="4"/>
        <v/>
      </c>
      <c r="O417" s="12" t="str">
        <f t="shared" si="5"/>
        <v/>
      </c>
      <c r="AI417" s="2" t="s">
        <v>64</v>
      </c>
    </row>
    <row r="418" ht="15.75" customHeight="1">
      <c r="E418" s="10"/>
      <c r="F418" s="11"/>
      <c r="G418" s="12"/>
      <c r="H418" s="12"/>
      <c r="K418" s="10">
        <f t="shared" si="7"/>
        <v>0</v>
      </c>
      <c r="L418" s="12">
        <f t="shared" si="2"/>
        <v>0</v>
      </c>
      <c r="M418" s="12" t="str">
        <f t="shared" si="6"/>
        <v/>
      </c>
      <c r="N418" s="12" t="str">
        <f t="shared" si="4"/>
        <v/>
      </c>
      <c r="O418" s="12" t="str">
        <f t="shared" si="5"/>
        <v/>
      </c>
      <c r="AI418" s="2" t="s">
        <v>64</v>
      </c>
    </row>
    <row r="419" ht="15.75" customHeight="1">
      <c r="E419" s="10"/>
      <c r="F419" s="11"/>
      <c r="G419" s="12"/>
      <c r="H419" s="12"/>
      <c r="K419" s="10">
        <f t="shared" si="7"/>
        <v>0</v>
      </c>
      <c r="L419" s="12">
        <f t="shared" si="2"/>
        <v>0</v>
      </c>
      <c r="M419" s="12" t="str">
        <f t="shared" si="6"/>
        <v/>
      </c>
      <c r="N419" s="12" t="str">
        <f t="shared" si="4"/>
        <v/>
      </c>
      <c r="O419" s="12" t="str">
        <f t="shared" si="5"/>
        <v/>
      </c>
      <c r="AI419" s="2" t="s">
        <v>64</v>
      </c>
    </row>
    <row r="420" ht="15.75" customHeight="1">
      <c r="E420" s="10"/>
      <c r="F420" s="11"/>
      <c r="G420" s="12"/>
      <c r="H420" s="12"/>
      <c r="K420" s="10">
        <f t="shared" si="7"/>
        <v>0</v>
      </c>
      <c r="L420" s="12">
        <f t="shared" si="2"/>
        <v>0</v>
      </c>
      <c r="M420" s="12" t="str">
        <f t="shared" si="6"/>
        <v/>
      </c>
      <c r="N420" s="12" t="str">
        <f t="shared" si="4"/>
        <v/>
      </c>
      <c r="O420" s="12" t="str">
        <f t="shared" si="5"/>
        <v/>
      </c>
      <c r="AI420" s="2" t="s">
        <v>64</v>
      </c>
    </row>
    <row r="421" ht="15.75" customHeight="1">
      <c r="E421" s="10"/>
      <c r="F421" s="11"/>
      <c r="G421" s="12"/>
      <c r="H421" s="12"/>
      <c r="K421" s="10">
        <f t="shared" si="7"/>
        <v>0</v>
      </c>
      <c r="L421" s="12">
        <f t="shared" si="2"/>
        <v>0</v>
      </c>
      <c r="M421" s="12" t="str">
        <f t="shared" si="6"/>
        <v/>
      </c>
      <c r="N421" s="12" t="str">
        <f t="shared" si="4"/>
        <v/>
      </c>
      <c r="O421" s="12" t="str">
        <f t="shared" si="5"/>
        <v/>
      </c>
      <c r="AI421" s="2" t="s">
        <v>64</v>
      </c>
    </row>
    <row r="422" ht="15.75" customHeight="1">
      <c r="E422" s="10"/>
      <c r="F422" s="11"/>
      <c r="G422" s="12"/>
      <c r="H422" s="12"/>
      <c r="K422" s="10">
        <f t="shared" si="7"/>
        <v>0</v>
      </c>
      <c r="L422" s="12">
        <f t="shared" si="2"/>
        <v>0</v>
      </c>
      <c r="M422" s="12" t="str">
        <f t="shared" si="6"/>
        <v/>
      </c>
      <c r="N422" s="12" t="str">
        <f t="shared" si="4"/>
        <v/>
      </c>
      <c r="O422" s="12" t="str">
        <f t="shared" si="5"/>
        <v/>
      </c>
      <c r="AI422" s="2" t="s">
        <v>64</v>
      </c>
    </row>
    <row r="423" ht="15.75" customHeight="1">
      <c r="E423" s="10"/>
      <c r="F423" s="11"/>
      <c r="G423" s="12"/>
      <c r="H423" s="12"/>
      <c r="K423" s="10">
        <f t="shared" si="7"/>
        <v>0</v>
      </c>
      <c r="L423" s="12">
        <f t="shared" si="2"/>
        <v>0</v>
      </c>
      <c r="M423" s="12" t="str">
        <f t="shared" si="6"/>
        <v/>
      </c>
      <c r="N423" s="12" t="str">
        <f t="shared" si="4"/>
        <v/>
      </c>
      <c r="O423" s="12" t="str">
        <f t="shared" si="5"/>
        <v/>
      </c>
      <c r="AI423" s="2" t="s">
        <v>64</v>
      </c>
    </row>
    <row r="424" ht="15.75" customHeight="1">
      <c r="E424" s="10"/>
      <c r="F424" s="11"/>
      <c r="G424" s="12"/>
      <c r="H424" s="12"/>
      <c r="K424" s="10">
        <f t="shared" si="7"/>
        <v>0</v>
      </c>
      <c r="L424" s="12">
        <f t="shared" si="2"/>
        <v>0</v>
      </c>
      <c r="M424" s="12" t="str">
        <f t="shared" si="6"/>
        <v/>
      </c>
      <c r="N424" s="12" t="str">
        <f t="shared" si="4"/>
        <v/>
      </c>
      <c r="O424" s="12" t="str">
        <f t="shared" si="5"/>
        <v/>
      </c>
      <c r="AI424" s="2" t="s">
        <v>64</v>
      </c>
    </row>
    <row r="425" ht="15.75" customHeight="1">
      <c r="E425" s="10"/>
      <c r="F425" s="11"/>
      <c r="G425" s="12"/>
      <c r="H425" s="12"/>
      <c r="K425" s="10">
        <f t="shared" si="7"/>
        <v>0</v>
      </c>
      <c r="L425" s="12">
        <f t="shared" si="2"/>
        <v>0</v>
      </c>
      <c r="M425" s="12" t="str">
        <f t="shared" si="6"/>
        <v/>
      </c>
      <c r="N425" s="12" t="str">
        <f t="shared" si="4"/>
        <v/>
      </c>
      <c r="O425" s="12" t="str">
        <f t="shared" si="5"/>
        <v/>
      </c>
      <c r="AI425" s="2" t="s">
        <v>64</v>
      </c>
    </row>
    <row r="426" ht="15.75" customHeight="1">
      <c r="E426" s="10"/>
      <c r="F426" s="11"/>
      <c r="G426" s="12"/>
      <c r="H426" s="12"/>
      <c r="K426" s="10">
        <f t="shared" si="7"/>
        <v>0</v>
      </c>
      <c r="L426" s="12">
        <f t="shared" si="2"/>
        <v>0</v>
      </c>
      <c r="M426" s="12" t="str">
        <f t="shared" si="6"/>
        <v/>
      </c>
      <c r="N426" s="12" t="str">
        <f t="shared" si="4"/>
        <v/>
      </c>
      <c r="O426" s="12" t="str">
        <f t="shared" si="5"/>
        <v/>
      </c>
      <c r="AI426" s="2" t="s">
        <v>64</v>
      </c>
    </row>
    <row r="427" ht="15.75" customHeight="1">
      <c r="E427" s="10"/>
      <c r="F427" s="11"/>
      <c r="G427" s="12"/>
      <c r="H427" s="12"/>
      <c r="K427" s="10">
        <f t="shared" si="7"/>
        <v>0</v>
      </c>
      <c r="L427" s="12">
        <f t="shared" si="2"/>
        <v>0</v>
      </c>
      <c r="M427" s="12" t="str">
        <f t="shared" si="6"/>
        <v/>
      </c>
      <c r="N427" s="12" t="str">
        <f t="shared" si="4"/>
        <v/>
      </c>
      <c r="O427" s="12" t="str">
        <f t="shared" si="5"/>
        <v/>
      </c>
      <c r="AI427" s="2" t="s">
        <v>64</v>
      </c>
    </row>
    <row r="428" ht="15.75" customHeight="1">
      <c r="E428" s="10"/>
      <c r="F428" s="11"/>
      <c r="G428" s="12"/>
      <c r="H428" s="12"/>
      <c r="K428" s="10">
        <f t="shared" si="7"/>
        <v>0</v>
      </c>
      <c r="L428" s="12">
        <f t="shared" si="2"/>
        <v>0</v>
      </c>
      <c r="M428" s="12" t="str">
        <f t="shared" si="6"/>
        <v/>
      </c>
      <c r="N428" s="12" t="str">
        <f t="shared" si="4"/>
        <v/>
      </c>
      <c r="O428" s="12" t="str">
        <f t="shared" si="5"/>
        <v/>
      </c>
      <c r="AI428" s="2" t="s">
        <v>64</v>
      </c>
    </row>
    <row r="429" ht="15.75" customHeight="1">
      <c r="E429" s="10"/>
      <c r="F429" s="11"/>
      <c r="G429" s="12"/>
      <c r="H429" s="12"/>
      <c r="K429" s="10">
        <f t="shared" si="7"/>
        <v>0</v>
      </c>
      <c r="L429" s="12">
        <f t="shared" si="2"/>
        <v>0</v>
      </c>
      <c r="M429" s="12" t="str">
        <f t="shared" si="6"/>
        <v/>
      </c>
      <c r="N429" s="12" t="str">
        <f t="shared" si="4"/>
        <v/>
      </c>
      <c r="O429" s="12" t="str">
        <f t="shared" si="5"/>
        <v/>
      </c>
      <c r="AI429" s="2" t="s">
        <v>64</v>
      </c>
    </row>
    <row r="430" ht="15.75" customHeight="1">
      <c r="E430" s="10"/>
      <c r="F430" s="11"/>
      <c r="G430" s="12"/>
      <c r="H430" s="12"/>
      <c r="K430" s="10">
        <f t="shared" si="7"/>
        <v>0</v>
      </c>
      <c r="L430" s="12">
        <f t="shared" si="2"/>
        <v>0</v>
      </c>
      <c r="M430" s="12" t="str">
        <f t="shared" si="6"/>
        <v/>
      </c>
      <c r="N430" s="12" t="str">
        <f t="shared" si="4"/>
        <v/>
      </c>
      <c r="O430" s="12" t="str">
        <f t="shared" si="5"/>
        <v/>
      </c>
      <c r="AI430" s="2" t="s">
        <v>64</v>
      </c>
    </row>
    <row r="431" ht="15.75" customHeight="1">
      <c r="E431" s="10"/>
      <c r="F431" s="11"/>
      <c r="G431" s="12"/>
      <c r="H431" s="12"/>
      <c r="K431" s="10">
        <f t="shared" si="7"/>
        <v>0</v>
      </c>
      <c r="L431" s="12">
        <f t="shared" si="2"/>
        <v>0</v>
      </c>
      <c r="M431" s="12" t="str">
        <f t="shared" si="6"/>
        <v/>
      </c>
      <c r="N431" s="12" t="str">
        <f t="shared" si="4"/>
        <v/>
      </c>
      <c r="O431" s="12" t="str">
        <f t="shared" si="5"/>
        <v/>
      </c>
      <c r="AI431" s="2" t="s">
        <v>64</v>
      </c>
    </row>
    <row r="432" ht="15.75" customHeight="1">
      <c r="E432" s="10"/>
      <c r="F432" s="11"/>
      <c r="G432" s="12"/>
      <c r="H432" s="12"/>
      <c r="K432" s="10">
        <f t="shared" si="7"/>
        <v>0</v>
      </c>
      <c r="L432" s="12">
        <f t="shared" si="2"/>
        <v>0</v>
      </c>
      <c r="M432" s="12" t="str">
        <f t="shared" si="6"/>
        <v/>
      </c>
      <c r="N432" s="12" t="str">
        <f t="shared" si="4"/>
        <v/>
      </c>
      <c r="O432" s="12" t="str">
        <f t="shared" si="5"/>
        <v/>
      </c>
      <c r="AI432" s="2" t="s">
        <v>64</v>
      </c>
    </row>
    <row r="433" ht="15.75" customHeight="1">
      <c r="E433" s="10"/>
      <c r="F433" s="11"/>
      <c r="G433" s="12"/>
      <c r="H433" s="12"/>
      <c r="K433" s="10">
        <f t="shared" si="7"/>
        <v>0</v>
      </c>
      <c r="L433" s="12">
        <f t="shared" si="2"/>
        <v>0</v>
      </c>
      <c r="M433" s="12" t="str">
        <f t="shared" si="6"/>
        <v/>
      </c>
      <c r="N433" s="12" t="str">
        <f t="shared" si="4"/>
        <v/>
      </c>
      <c r="O433" s="12" t="str">
        <f t="shared" si="5"/>
        <v/>
      </c>
      <c r="AI433" s="2" t="s">
        <v>64</v>
      </c>
    </row>
    <row r="434" ht="15.75" customHeight="1">
      <c r="E434" s="10"/>
      <c r="F434" s="11"/>
      <c r="G434" s="12"/>
      <c r="H434" s="12"/>
      <c r="K434" s="10">
        <f t="shared" si="7"/>
        <v>0</v>
      </c>
      <c r="L434" s="12">
        <f t="shared" si="2"/>
        <v>0</v>
      </c>
      <c r="M434" s="12" t="str">
        <f t="shared" si="6"/>
        <v/>
      </c>
      <c r="N434" s="12" t="str">
        <f t="shared" si="4"/>
        <v/>
      </c>
      <c r="O434" s="12" t="str">
        <f t="shared" si="5"/>
        <v/>
      </c>
      <c r="AI434" s="2" t="s">
        <v>64</v>
      </c>
    </row>
    <row r="435" ht="15.75" customHeight="1">
      <c r="E435" s="10"/>
      <c r="F435" s="11"/>
      <c r="G435" s="12"/>
      <c r="H435" s="12"/>
      <c r="K435" s="10">
        <f t="shared" si="7"/>
        <v>0</v>
      </c>
      <c r="L435" s="12">
        <f t="shared" si="2"/>
        <v>0</v>
      </c>
      <c r="M435" s="12" t="str">
        <f t="shared" si="6"/>
        <v/>
      </c>
      <c r="N435" s="12" t="str">
        <f t="shared" si="4"/>
        <v/>
      </c>
      <c r="O435" s="12" t="str">
        <f t="shared" si="5"/>
        <v/>
      </c>
      <c r="AI435" s="2" t="s">
        <v>64</v>
      </c>
    </row>
    <row r="436" ht="15.75" customHeight="1">
      <c r="E436" s="10"/>
      <c r="F436" s="11"/>
      <c r="G436" s="12"/>
      <c r="H436" s="12"/>
      <c r="K436" s="10">
        <f t="shared" si="7"/>
        <v>0</v>
      </c>
      <c r="L436" s="12">
        <f t="shared" si="2"/>
        <v>0</v>
      </c>
      <c r="M436" s="12" t="str">
        <f t="shared" si="6"/>
        <v/>
      </c>
      <c r="N436" s="12" t="str">
        <f t="shared" si="4"/>
        <v/>
      </c>
      <c r="O436" s="12" t="str">
        <f t="shared" si="5"/>
        <v/>
      </c>
      <c r="AI436" s="2" t="s">
        <v>64</v>
      </c>
    </row>
    <row r="437" ht="15.75" customHeight="1">
      <c r="E437" s="10"/>
      <c r="F437" s="11"/>
      <c r="G437" s="12"/>
      <c r="H437" s="12"/>
      <c r="K437" s="10">
        <f t="shared" si="7"/>
        <v>0</v>
      </c>
      <c r="L437" s="12">
        <f t="shared" si="2"/>
        <v>0</v>
      </c>
      <c r="M437" s="12" t="str">
        <f t="shared" si="6"/>
        <v/>
      </c>
      <c r="N437" s="12" t="str">
        <f t="shared" si="4"/>
        <v/>
      </c>
      <c r="O437" s="12" t="str">
        <f t="shared" si="5"/>
        <v/>
      </c>
      <c r="AI437" s="2" t="s">
        <v>64</v>
      </c>
    </row>
    <row r="438" ht="15.75" customHeight="1">
      <c r="E438" s="10"/>
      <c r="F438" s="11"/>
      <c r="G438" s="12"/>
      <c r="H438" s="12"/>
      <c r="K438" s="10">
        <f t="shared" si="7"/>
        <v>0</v>
      </c>
      <c r="L438" s="12">
        <f t="shared" si="2"/>
        <v>0</v>
      </c>
      <c r="M438" s="12" t="str">
        <f t="shared" si="6"/>
        <v/>
      </c>
      <c r="N438" s="12" t="str">
        <f t="shared" si="4"/>
        <v/>
      </c>
      <c r="O438" s="12" t="str">
        <f t="shared" si="5"/>
        <v/>
      </c>
      <c r="AI438" s="2" t="s">
        <v>64</v>
      </c>
    </row>
    <row r="439" ht="15.75" customHeight="1">
      <c r="E439" s="10"/>
      <c r="F439" s="11"/>
      <c r="G439" s="12"/>
      <c r="H439" s="12"/>
      <c r="K439" s="10">
        <f t="shared" si="7"/>
        <v>0</v>
      </c>
      <c r="L439" s="12">
        <f t="shared" si="2"/>
        <v>0</v>
      </c>
      <c r="M439" s="12" t="str">
        <f t="shared" si="6"/>
        <v/>
      </c>
      <c r="N439" s="12" t="str">
        <f t="shared" si="4"/>
        <v/>
      </c>
      <c r="O439" s="12" t="str">
        <f t="shared" si="5"/>
        <v/>
      </c>
      <c r="AI439" s="2" t="s">
        <v>64</v>
      </c>
    </row>
    <row r="440" ht="15.75" customHeight="1">
      <c r="E440" s="10"/>
      <c r="F440" s="11"/>
      <c r="G440" s="12"/>
      <c r="H440" s="12"/>
      <c r="K440" s="10">
        <f t="shared" si="7"/>
        <v>0</v>
      </c>
      <c r="L440" s="12">
        <f t="shared" si="2"/>
        <v>0</v>
      </c>
      <c r="M440" s="12" t="str">
        <f t="shared" si="6"/>
        <v/>
      </c>
      <c r="N440" s="12" t="str">
        <f t="shared" si="4"/>
        <v/>
      </c>
      <c r="O440" s="12" t="str">
        <f t="shared" si="5"/>
        <v/>
      </c>
      <c r="AI440" s="2" t="s">
        <v>64</v>
      </c>
    </row>
    <row r="441" ht="15.75" customHeight="1">
      <c r="E441" s="10"/>
      <c r="F441" s="11"/>
      <c r="G441" s="12"/>
      <c r="H441" s="12"/>
      <c r="K441" s="10">
        <f t="shared" si="7"/>
        <v>0</v>
      </c>
      <c r="L441" s="12">
        <f t="shared" si="2"/>
        <v>0</v>
      </c>
      <c r="M441" s="12" t="str">
        <f t="shared" si="6"/>
        <v/>
      </c>
      <c r="N441" s="12" t="str">
        <f t="shared" si="4"/>
        <v/>
      </c>
      <c r="O441" s="12" t="str">
        <f t="shared" si="5"/>
        <v/>
      </c>
      <c r="AI441" s="2" t="s">
        <v>64</v>
      </c>
    </row>
    <row r="442" ht="15.75" customHeight="1">
      <c r="E442" s="10"/>
      <c r="F442" s="11"/>
      <c r="G442" s="12"/>
      <c r="H442" s="12"/>
      <c r="K442" s="10">
        <f t="shared" si="7"/>
        <v>0</v>
      </c>
      <c r="L442" s="12">
        <f t="shared" si="2"/>
        <v>0</v>
      </c>
      <c r="M442" s="12" t="str">
        <f t="shared" si="6"/>
        <v/>
      </c>
      <c r="N442" s="12" t="str">
        <f t="shared" si="4"/>
        <v/>
      </c>
      <c r="O442" s="12" t="str">
        <f t="shared" si="5"/>
        <v/>
      </c>
      <c r="AI442" s="2" t="s">
        <v>64</v>
      </c>
    </row>
    <row r="443" ht="15.75" customHeight="1">
      <c r="E443" s="10"/>
      <c r="F443" s="11"/>
      <c r="G443" s="12"/>
      <c r="H443" s="12"/>
      <c r="K443" s="10">
        <f t="shared" si="7"/>
        <v>0</v>
      </c>
      <c r="L443" s="12">
        <f t="shared" si="2"/>
        <v>0</v>
      </c>
      <c r="M443" s="12" t="str">
        <f t="shared" si="6"/>
        <v/>
      </c>
      <c r="N443" s="12" t="str">
        <f t="shared" si="4"/>
        <v/>
      </c>
      <c r="O443" s="12" t="str">
        <f t="shared" si="5"/>
        <v/>
      </c>
      <c r="AI443" s="2" t="s">
        <v>64</v>
      </c>
    </row>
    <row r="444" ht="15.75" customHeight="1">
      <c r="E444" s="10"/>
      <c r="F444" s="11"/>
      <c r="G444" s="12"/>
      <c r="H444" s="12"/>
      <c r="K444" s="10">
        <f t="shared" si="7"/>
        <v>0</v>
      </c>
      <c r="L444" s="12">
        <f t="shared" si="2"/>
        <v>0</v>
      </c>
      <c r="M444" s="12" t="str">
        <f t="shared" si="6"/>
        <v/>
      </c>
      <c r="N444" s="12" t="str">
        <f t="shared" si="4"/>
        <v/>
      </c>
      <c r="O444" s="12" t="str">
        <f t="shared" si="5"/>
        <v/>
      </c>
      <c r="AI444" s="2" t="s">
        <v>64</v>
      </c>
    </row>
    <row r="445" ht="15.75" customHeight="1">
      <c r="E445" s="10"/>
      <c r="F445" s="11"/>
      <c r="G445" s="12"/>
      <c r="H445" s="12"/>
      <c r="K445" s="10">
        <f t="shared" si="7"/>
        <v>0</v>
      </c>
      <c r="L445" s="12">
        <f t="shared" si="2"/>
        <v>0</v>
      </c>
      <c r="M445" s="12" t="str">
        <f t="shared" si="6"/>
        <v/>
      </c>
      <c r="N445" s="12" t="str">
        <f t="shared" si="4"/>
        <v/>
      </c>
      <c r="O445" s="12" t="str">
        <f t="shared" si="5"/>
        <v/>
      </c>
      <c r="AI445" s="2" t="s">
        <v>64</v>
      </c>
    </row>
    <row r="446" ht="15.75" customHeight="1">
      <c r="E446" s="10"/>
      <c r="F446" s="11"/>
      <c r="G446" s="12"/>
      <c r="H446" s="12"/>
      <c r="K446" s="10">
        <f t="shared" si="7"/>
        <v>0</v>
      </c>
      <c r="L446" s="12">
        <f t="shared" si="2"/>
        <v>0</v>
      </c>
      <c r="M446" s="12" t="str">
        <f t="shared" si="6"/>
        <v/>
      </c>
      <c r="N446" s="12" t="str">
        <f t="shared" si="4"/>
        <v/>
      </c>
      <c r="O446" s="12" t="str">
        <f t="shared" si="5"/>
        <v/>
      </c>
      <c r="AI446" s="2" t="s">
        <v>64</v>
      </c>
    </row>
    <row r="447" ht="15.75" customHeight="1">
      <c r="E447" s="10"/>
      <c r="F447" s="11"/>
      <c r="G447" s="12"/>
      <c r="H447" s="12"/>
      <c r="K447" s="10">
        <f t="shared" si="7"/>
        <v>0</v>
      </c>
      <c r="L447" s="12">
        <f t="shared" si="2"/>
        <v>0</v>
      </c>
      <c r="M447" s="12" t="str">
        <f t="shared" si="6"/>
        <v/>
      </c>
      <c r="N447" s="12" t="str">
        <f t="shared" si="4"/>
        <v/>
      </c>
      <c r="O447" s="12" t="str">
        <f t="shared" si="5"/>
        <v/>
      </c>
      <c r="AI447" s="2" t="s">
        <v>64</v>
      </c>
    </row>
    <row r="448" ht="15.75" customHeight="1">
      <c r="E448" s="10"/>
      <c r="F448" s="11"/>
      <c r="G448" s="12"/>
      <c r="H448" s="12"/>
      <c r="K448" s="10">
        <f t="shared" si="7"/>
        <v>0</v>
      </c>
      <c r="L448" s="12">
        <f t="shared" si="2"/>
        <v>0</v>
      </c>
      <c r="M448" s="12" t="str">
        <f t="shared" si="6"/>
        <v/>
      </c>
      <c r="N448" s="12" t="str">
        <f t="shared" si="4"/>
        <v/>
      </c>
      <c r="O448" s="12" t="str">
        <f t="shared" si="5"/>
        <v/>
      </c>
      <c r="AI448" s="2" t="s">
        <v>64</v>
      </c>
    </row>
    <row r="449" ht="15.75" customHeight="1">
      <c r="E449" s="10"/>
      <c r="F449" s="11"/>
      <c r="G449" s="12"/>
      <c r="H449" s="12"/>
      <c r="K449" s="10">
        <f t="shared" si="7"/>
        <v>0</v>
      </c>
      <c r="L449" s="12">
        <f t="shared" si="2"/>
        <v>0</v>
      </c>
      <c r="M449" s="12" t="str">
        <f t="shared" si="6"/>
        <v/>
      </c>
      <c r="N449" s="12" t="str">
        <f t="shared" si="4"/>
        <v/>
      </c>
      <c r="O449" s="12" t="str">
        <f t="shared" si="5"/>
        <v/>
      </c>
      <c r="AI449" s="2" t="s">
        <v>64</v>
      </c>
    </row>
    <row r="450" ht="15.75" customHeight="1">
      <c r="E450" s="10"/>
      <c r="F450" s="11"/>
      <c r="G450" s="12"/>
      <c r="H450" s="12"/>
      <c r="K450" s="10">
        <f t="shared" si="7"/>
        <v>0</v>
      </c>
      <c r="L450" s="12">
        <f t="shared" si="2"/>
        <v>0</v>
      </c>
      <c r="M450" s="12" t="str">
        <f t="shared" si="6"/>
        <v/>
      </c>
      <c r="N450" s="12" t="str">
        <f t="shared" si="4"/>
        <v/>
      </c>
      <c r="O450" s="12" t="str">
        <f t="shared" si="5"/>
        <v/>
      </c>
      <c r="AI450" s="2" t="s">
        <v>64</v>
      </c>
    </row>
    <row r="451" ht="15.75" customHeight="1">
      <c r="E451" s="10"/>
      <c r="F451" s="11"/>
      <c r="G451" s="12"/>
      <c r="H451" s="12"/>
      <c r="K451" s="10">
        <f t="shared" si="7"/>
        <v>0</v>
      </c>
      <c r="L451" s="12">
        <f t="shared" si="2"/>
        <v>0</v>
      </c>
      <c r="M451" s="12" t="str">
        <f t="shared" si="6"/>
        <v/>
      </c>
      <c r="N451" s="12" t="str">
        <f t="shared" si="4"/>
        <v/>
      </c>
      <c r="O451" s="12" t="str">
        <f t="shared" si="5"/>
        <v/>
      </c>
      <c r="AI451" s="2" t="s">
        <v>64</v>
      </c>
    </row>
    <row r="452" ht="15.75" customHeight="1">
      <c r="E452" s="10"/>
      <c r="F452" s="11"/>
      <c r="G452" s="12"/>
      <c r="H452" s="12"/>
      <c r="K452" s="10">
        <f t="shared" si="7"/>
        <v>0</v>
      </c>
      <c r="L452" s="12">
        <f t="shared" si="2"/>
        <v>0</v>
      </c>
      <c r="M452" s="12" t="str">
        <f t="shared" si="6"/>
        <v/>
      </c>
      <c r="N452" s="12" t="str">
        <f t="shared" si="4"/>
        <v/>
      </c>
      <c r="O452" s="12" t="str">
        <f t="shared" si="5"/>
        <v/>
      </c>
      <c r="AI452" s="2" t="s">
        <v>64</v>
      </c>
    </row>
    <row r="453" ht="15.75" customHeight="1">
      <c r="E453" s="10"/>
      <c r="F453" s="11"/>
      <c r="G453" s="12"/>
      <c r="H453" s="12"/>
      <c r="K453" s="10">
        <f t="shared" si="7"/>
        <v>0</v>
      </c>
      <c r="L453" s="12">
        <f t="shared" si="2"/>
        <v>0</v>
      </c>
      <c r="M453" s="12" t="str">
        <f t="shared" si="6"/>
        <v/>
      </c>
      <c r="N453" s="12" t="str">
        <f t="shared" si="4"/>
        <v/>
      </c>
      <c r="O453" s="12" t="str">
        <f t="shared" si="5"/>
        <v/>
      </c>
      <c r="AI453" s="2" t="s">
        <v>64</v>
      </c>
    </row>
    <row r="454" ht="15.75" customHeight="1">
      <c r="E454" s="10"/>
      <c r="F454" s="11"/>
      <c r="G454" s="12"/>
      <c r="H454" s="12"/>
      <c r="K454" s="10">
        <f t="shared" si="7"/>
        <v>0</v>
      </c>
      <c r="L454" s="12">
        <f t="shared" si="2"/>
        <v>0</v>
      </c>
      <c r="M454" s="12" t="str">
        <f t="shared" si="6"/>
        <v/>
      </c>
      <c r="N454" s="12" t="str">
        <f t="shared" si="4"/>
        <v/>
      </c>
      <c r="O454" s="12" t="str">
        <f t="shared" si="5"/>
        <v/>
      </c>
      <c r="AI454" s="2" t="s">
        <v>64</v>
      </c>
    </row>
    <row r="455" ht="15.75" customHeight="1">
      <c r="E455" s="10"/>
      <c r="F455" s="11"/>
      <c r="G455" s="12"/>
      <c r="H455" s="12"/>
      <c r="K455" s="10">
        <f t="shared" si="7"/>
        <v>0</v>
      </c>
      <c r="L455" s="12">
        <f t="shared" si="2"/>
        <v>0</v>
      </c>
      <c r="M455" s="12" t="str">
        <f t="shared" si="6"/>
        <v/>
      </c>
      <c r="N455" s="12" t="str">
        <f t="shared" si="4"/>
        <v/>
      </c>
      <c r="O455" s="12" t="str">
        <f t="shared" si="5"/>
        <v/>
      </c>
      <c r="AI455" s="2" t="s">
        <v>64</v>
      </c>
    </row>
    <row r="456" ht="15.75" customHeight="1">
      <c r="E456" s="10"/>
      <c r="F456" s="11"/>
      <c r="G456" s="12"/>
      <c r="H456" s="12"/>
      <c r="K456" s="10">
        <f t="shared" si="7"/>
        <v>0</v>
      </c>
      <c r="L456" s="12">
        <f t="shared" si="2"/>
        <v>0</v>
      </c>
      <c r="M456" s="12" t="str">
        <f t="shared" si="6"/>
        <v/>
      </c>
      <c r="N456" s="12" t="str">
        <f t="shared" si="4"/>
        <v/>
      </c>
      <c r="O456" s="12" t="str">
        <f t="shared" si="5"/>
        <v/>
      </c>
      <c r="AI456" s="2" t="s">
        <v>64</v>
      </c>
    </row>
    <row r="457" ht="15.75" customHeight="1">
      <c r="E457" s="10"/>
      <c r="F457" s="11"/>
      <c r="G457" s="12"/>
      <c r="H457" s="12"/>
      <c r="K457" s="10">
        <f t="shared" si="7"/>
        <v>0</v>
      </c>
      <c r="L457" s="12">
        <f t="shared" si="2"/>
        <v>0</v>
      </c>
      <c r="M457" s="12" t="str">
        <f t="shared" si="6"/>
        <v/>
      </c>
      <c r="N457" s="12" t="str">
        <f t="shared" si="4"/>
        <v/>
      </c>
      <c r="O457" s="12" t="str">
        <f t="shared" si="5"/>
        <v/>
      </c>
      <c r="AI457" s="2" t="s">
        <v>64</v>
      </c>
    </row>
    <row r="458" ht="15.75" customHeight="1">
      <c r="E458" s="10"/>
      <c r="F458" s="11"/>
      <c r="G458" s="12"/>
      <c r="H458" s="12"/>
      <c r="K458" s="10">
        <f t="shared" si="7"/>
        <v>0</v>
      </c>
      <c r="L458" s="12">
        <f t="shared" si="2"/>
        <v>0</v>
      </c>
      <c r="M458" s="12" t="str">
        <f t="shared" si="6"/>
        <v/>
      </c>
      <c r="N458" s="12" t="str">
        <f t="shared" si="4"/>
        <v/>
      </c>
      <c r="O458" s="12" t="str">
        <f t="shared" si="5"/>
        <v/>
      </c>
      <c r="AI458" s="2" t="s">
        <v>64</v>
      </c>
    </row>
    <row r="459" ht="15.75" customHeight="1">
      <c r="E459" s="10"/>
      <c r="F459" s="11"/>
      <c r="G459" s="12"/>
      <c r="H459" s="12"/>
      <c r="K459" s="10">
        <f t="shared" si="7"/>
        <v>0</v>
      </c>
      <c r="L459" s="12">
        <f t="shared" si="2"/>
        <v>0</v>
      </c>
      <c r="M459" s="12" t="str">
        <f t="shared" si="6"/>
        <v/>
      </c>
      <c r="N459" s="12" t="str">
        <f t="shared" si="4"/>
        <v/>
      </c>
      <c r="O459" s="12" t="str">
        <f t="shared" si="5"/>
        <v/>
      </c>
      <c r="AI459" s="2" t="s">
        <v>64</v>
      </c>
    </row>
    <row r="460" ht="15.75" customHeight="1">
      <c r="E460" s="10"/>
      <c r="F460" s="11"/>
      <c r="G460" s="12"/>
      <c r="H460" s="12"/>
      <c r="K460" s="10">
        <f t="shared" si="7"/>
        <v>0</v>
      </c>
      <c r="L460" s="12">
        <f t="shared" si="2"/>
        <v>0</v>
      </c>
      <c r="M460" s="12" t="str">
        <f t="shared" si="6"/>
        <v/>
      </c>
      <c r="N460" s="12" t="str">
        <f t="shared" si="4"/>
        <v/>
      </c>
      <c r="O460" s="12" t="str">
        <f t="shared" si="5"/>
        <v/>
      </c>
      <c r="AI460" s="2" t="s">
        <v>64</v>
      </c>
    </row>
    <row r="461" ht="15.75" customHeight="1">
      <c r="E461" s="10"/>
      <c r="F461" s="11"/>
      <c r="G461" s="12"/>
      <c r="H461" s="12"/>
      <c r="K461" s="10">
        <f t="shared" si="7"/>
        <v>0</v>
      </c>
      <c r="L461" s="12">
        <f t="shared" si="2"/>
        <v>0</v>
      </c>
      <c r="M461" s="12" t="str">
        <f t="shared" si="6"/>
        <v/>
      </c>
      <c r="N461" s="12" t="str">
        <f t="shared" si="4"/>
        <v/>
      </c>
      <c r="O461" s="12" t="str">
        <f t="shared" si="5"/>
        <v/>
      </c>
      <c r="AI461" s="2" t="s">
        <v>64</v>
      </c>
    </row>
    <row r="462" ht="15.75" customHeight="1">
      <c r="E462" s="10"/>
      <c r="F462" s="11"/>
      <c r="G462" s="12"/>
      <c r="H462" s="12"/>
      <c r="K462" s="10">
        <f t="shared" si="7"/>
        <v>0</v>
      </c>
      <c r="L462" s="12">
        <f t="shared" si="2"/>
        <v>0</v>
      </c>
      <c r="M462" s="12" t="str">
        <f t="shared" si="6"/>
        <v/>
      </c>
      <c r="N462" s="12" t="str">
        <f t="shared" si="4"/>
        <v/>
      </c>
      <c r="O462" s="12" t="str">
        <f t="shared" si="5"/>
        <v/>
      </c>
      <c r="AI462" s="2" t="s">
        <v>64</v>
      </c>
    </row>
    <row r="463" ht="15.75" customHeight="1">
      <c r="E463" s="10"/>
      <c r="F463" s="11"/>
      <c r="G463" s="12"/>
      <c r="H463" s="12"/>
      <c r="K463" s="10">
        <f t="shared" si="7"/>
        <v>0</v>
      </c>
      <c r="L463" s="12">
        <f t="shared" si="2"/>
        <v>0</v>
      </c>
      <c r="M463" s="12" t="str">
        <f t="shared" si="6"/>
        <v/>
      </c>
      <c r="N463" s="12" t="str">
        <f t="shared" si="4"/>
        <v/>
      </c>
      <c r="O463" s="12" t="str">
        <f t="shared" si="5"/>
        <v/>
      </c>
      <c r="AI463" s="2" t="s">
        <v>64</v>
      </c>
    </row>
    <row r="464" ht="15.75" customHeight="1">
      <c r="E464" s="10"/>
      <c r="F464" s="11"/>
      <c r="G464" s="12"/>
      <c r="H464" s="12"/>
      <c r="K464" s="10">
        <f t="shared" si="7"/>
        <v>0</v>
      </c>
      <c r="L464" s="12">
        <f t="shared" si="2"/>
        <v>0</v>
      </c>
      <c r="M464" s="12" t="str">
        <f t="shared" si="6"/>
        <v/>
      </c>
      <c r="N464" s="12" t="str">
        <f t="shared" si="4"/>
        <v/>
      </c>
      <c r="O464" s="12" t="str">
        <f t="shared" si="5"/>
        <v/>
      </c>
      <c r="AI464" s="2" t="s">
        <v>64</v>
      </c>
    </row>
    <row r="465" ht="15.75" customHeight="1">
      <c r="E465" s="10"/>
      <c r="F465" s="11"/>
      <c r="G465" s="12"/>
      <c r="H465" s="12"/>
      <c r="K465" s="10">
        <f t="shared" si="7"/>
        <v>0</v>
      </c>
      <c r="L465" s="12">
        <f t="shared" si="2"/>
        <v>0</v>
      </c>
      <c r="M465" s="12" t="str">
        <f t="shared" si="6"/>
        <v/>
      </c>
      <c r="N465" s="12" t="str">
        <f t="shared" si="4"/>
        <v/>
      </c>
      <c r="O465" s="12" t="str">
        <f t="shared" si="5"/>
        <v/>
      </c>
      <c r="AI465" s="2" t="s">
        <v>64</v>
      </c>
    </row>
    <row r="466" ht="15.75" customHeight="1">
      <c r="E466" s="10"/>
      <c r="F466" s="11"/>
      <c r="G466" s="12"/>
      <c r="H466" s="12"/>
      <c r="K466" s="10">
        <f t="shared" si="7"/>
        <v>0</v>
      </c>
      <c r="L466" s="12">
        <f t="shared" si="2"/>
        <v>0</v>
      </c>
      <c r="M466" s="12" t="str">
        <f t="shared" si="6"/>
        <v/>
      </c>
      <c r="N466" s="12" t="str">
        <f t="shared" si="4"/>
        <v/>
      </c>
      <c r="O466" s="12" t="str">
        <f t="shared" si="5"/>
        <v/>
      </c>
      <c r="AI466" s="2" t="s">
        <v>64</v>
      </c>
    </row>
    <row r="467" ht="15.75" customHeight="1">
      <c r="E467" s="10"/>
      <c r="F467" s="11"/>
      <c r="G467" s="12"/>
      <c r="H467" s="12"/>
      <c r="K467" s="10">
        <f t="shared" si="7"/>
        <v>0</v>
      </c>
      <c r="L467" s="12">
        <f t="shared" si="2"/>
        <v>0</v>
      </c>
      <c r="M467" s="12" t="str">
        <f t="shared" si="6"/>
        <v/>
      </c>
      <c r="N467" s="12" t="str">
        <f t="shared" si="4"/>
        <v/>
      </c>
      <c r="O467" s="12" t="str">
        <f t="shared" si="5"/>
        <v/>
      </c>
      <c r="AI467" s="2" t="s">
        <v>64</v>
      </c>
    </row>
    <row r="468" ht="15.75" customHeight="1">
      <c r="E468" s="10"/>
      <c r="F468" s="11"/>
      <c r="G468" s="12"/>
      <c r="H468" s="12"/>
      <c r="K468" s="10">
        <f t="shared" si="7"/>
        <v>0</v>
      </c>
      <c r="L468" s="12">
        <f t="shared" si="2"/>
        <v>0</v>
      </c>
      <c r="M468" s="12" t="str">
        <f t="shared" si="6"/>
        <v/>
      </c>
      <c r="N468" s="12" t="str">
        <f t="shared" si="4"/>
        <v/>
      </c>
      <c r="O468" s="12" t="str">
        <f t="shared" si="5"/>
        <v/>
      </c>
      <c r="AI468" s="2" t="s">
        <v>64</v>
      </c>
    </row>
    <row r="469" ht="15.75" customHeight="1">
      <c r="E469" s="10"/>
      <c r="F469" s="11"/>
      <c r="G469" s="12"/>
      <c r="H469" s="12"/>
      <c r="K469" s="10">
        <f t="shared" si="7"/>
        <v>0</v>
      </c>
      <c r="L469" s="12">
        <f t="shared" si="2"/>
        <v>0</v>
      </c>
      <c r="M469" s="12" t="str">
        <f t="shared" si="6"/>
        <v/>
      </c>
      <c r="N469" s="12" t="str">
        <f t="shared" si="4"/>
        <v/>
      </c>
      <c r="O469" s="12" t="str">
        <f t="shared" si="5"/>
        <v/>
      </c>
      <c r="AI469" s="2" t="s">
        <v>64</v>
      </c>
    </row>
    <row r="470" ht="15.75" customHeight="1">
      <c r="E470" s="10"/>
      <c r="F470" s="11"/>
      <c r="G470" s="12"/>
      <c r="H470" s="12"/>
      <c r="K470" s="10">
        <f t="shared" si="7"/>
        <v>0</v>
      </c>
      <c r="L470" s="12">
        <f t="shared" si="2"/>
        <v>0</v>
      </c>
      <c r="M470" s="12" t="str">
        <f t="shared" si="6"/>
        <v/>
      </c>
      <c r="N470" s="12" t="str">
        <f t="shared" si="4"/>
        <v/>
      </c>
      <c r="O470" s="12" t="str">
        <f t="shared" si="5"/>
        <v/>
      </c>
      <c r="AI470" s="2" t="s">
        <v>64</v>
      </c>
    </row>
    <row r="471" ht="15.75" customHeight="1">
      <c r="E471" s="10"/>
      <c r="F471" s="11"/>
      <c r="G471" s="12"/>
      <c r="H471" s="12"/>
      <c r="K471" s="10">
        <f t="shared" si="7"/>
        <v>0</v>
      </c>
      <c r="L471" s="12">
        <f t="shared" si="2"/>
        <v>0</v>
      </c>
      <c r="M471" s="12" t="str">
        <f t="shared" si="6"/>
        <v/>
      </c>
      <c r="N471" s="12" t="str">
        <f t="shared" si="4"/>
        <v/>
      </c>
      <c r="O471" s="12" t="str">
        <f t="shared" si="5"/>
        <v/>
      </c>
      <c r="AI471" s="2" t="s">
        <v>64</v>
      </c>
    </row>
    <row r="472" ht="15.75" customHeight="1">
      <c r="E472" s="10"/>
      <c r="F472" s="11"/>
      <c r="G472" s="12"/>
      <c r="H472" s="12"/>
      <c r="K472" s="10">
        <f t="shared" si="7"/>
        <v>0</v>
      </c>
      <c r="L472" s="12">
        <f t="shared" si="2"/>
        <v>0</v>
      </c>
      <c r="M472" s="12" t="str">
        <f t="shared" si="6"/>
        <v/>
      </c>
      <c r="N472" s="12" t="str">
        <f t="shared" si="4"/>
        <v/>
      </c>
      <c r="O472" s="12" t="str">
        <f t="shared" si="5"/>
        <v/>
      </c>
      <c r="AI472" s="2" t="s">
        <v>64</v>
      </c>
    </row>
    <row r="473" ht="15.75" customHeight="1">
      <c r="E473" s="10"/>
      <c r="F473" s="11"/>
      <c r="G473" s="12"/>
      <c r="H473" s="12"/>
      <c r="K473" s="10">
        <f t="shared" si="7"/>
        <v>0</v>
      </c>
      <c r="L473" s="12">
        <f t="shared" si="2"/>
        <v>0</v>
      </c>
      <c r="M473" s="12" t="str">
        <f t="shared" si="6"/>
        <v/>
      </c>
      <c r="N473" s="12" t="str">
        <f t="shared" si="4"/>
        <v/>
      </c>
      <c r="O473" s="12" t="str">
        <f t="shared" si="5"/>
        <v/>
      </c>
      <c r="AI473" s="2" t="s">
        <v>64</v>
      </c>
    </row>
    <row r="474" ht="15.75" customHeight="1">
      <c r="E474" s="10"/>
      <c r="F474" s="11"/>
      <c r="G474" s="12"/>
      <c r="H474" s="12"/>
      <c r="K474" s="10">
        <f t="shared" si="7"/>
        <v>0</v>
      </c>
      <c r="L474" s="12">
        <f t="shared" si="2"/>
        <v>0</v>
      </c>
      <c r="M474" s="12" t="str">
        <f t="shared" si="6"/>
        <v/>
      </c>
      <c r="N474" s="12" t="str">
        <f t="shared" si="4"/>
        <v/>
      </c>
      <c r="O474" s="12" t="str">
        <f t="shared" si="5"/>
        <v/>
      </c>
      <c r="AI474" s="2" t="s">
        <v>64</v>
      </c>
    </row>
    <row r="475" ht="15.75" customHeight="1">
      <c r="E475" s="10"/>
      <c r="F475" s="11"/>
      <c r="G475" s="12"/>
      <c r="H475" s="12"/>
      <c r="K475" s="10">
        <f t="shared" si="7"/>
        <v>0</v>
      </c>
      <c r="L475" s="12">
        <f t="shared" si="2"/>
        <v>0</v>
      </c>
      <c r="M475" s="12" t="str">
        <f t="shared" si="6"/>
        <v/>
      </c>
      <c r="N475" s="12" t="str">
        <f t="shared" si="4"/>
        <v/>
      </c>
      <c r="O475" s="12" t="str">
        <f t="shared" si="5"/>
        <v/>
      </c>
      <c r="AI475" s="2" t="s">
        <v>64</v>
      </c>
    </row>
    <row r="476" ht="15.75" customHeight="1">
      <c r="E476" s="10"/>
      <c r="F476" s="11"/>
      <c r="G476" s="12"/>
      <c r="H476" s="12"/>
      <c r="K476" s="10">
        <f t="shared" si="7"/>
        <v>0</v>
      </c>
      <c r="L476" s="12">
        <f t="shared" si="2"/>
        <v>0</v>
      </c>
      <c r="M476" s="12" t="str">
        <f t="shared" si="6"/>
        <v/>
      </c>
      <c r="N476" s="12" t="str">
        <f t="shared" si="4"/>
        <v/>
      </c>
      <c r="O476" s="12" t="str">
        <f t="shared" si="5"/>
        <v/>
      </c>
      <c r="AI476" s="2" t="s">
        <v>64</v>
      </c>
    </row>
    <row r="477" ht="15.75" customHeight="1">
      <c r="E477" s="10"/>
      <c r="F477" s="11"/>
      <c r="G477" s="12"/>
      <c r="H477" s="12"/>
      <c r="K477" s="10">
        <f t="shared" si="7"/>
        <v>0</v>
      </c>
      <c r="L477" s="12">
        <f t="shared" si="2"/>
        <v>0</v>
      </c>
      <c r="M477" s="12" t="str">
        <f t="shared" si="6"/>
        <v/>
      </c>
      <c r="N477" s="12" t="str">
        <f t="shared" si="4"/>
        <v/>
      </c>
      <c r="O477" s="12" t="str">
        <f t="shared" si="5"/>
        <v/>
      </c>
      <c r="AI477" s="2" t="s">
        <v>64</v>
      </c>
    </row>
    <row r="478" ht="15.75" customHeight="1">
      <c r="E478" s="10"/>
      <c r="F478" s="11"/>
      <c r="G478" s="12"/>
      <c r="H478" s="12"/>
      <c r="K478" s="10">
        <f t="shared" si="7"/>
        <v>0</v>
      </c>
      <c r="L478" s="12">
        <f t="shared" si="2"/>
        <v>0</v>
      </c>
      <c r="M478" s="12" t="str">
        <f t="shared" si="6"/>
        <v/>
      </c>
      <c r="N478" s="12" t="str">
        <f t="shared" si="4"/>
        <v/>
      </c>
      <c r="O478" s="12" t="str">
        <f t="shared" si="5"/>
        <v/>
      </c>
      <c r="AI478" s="2" t="s">
        <v>64</v>
      </c>
    </row>
    <row r="479" ht="15.75" customHeight="1">
      <c r="E479" s="10"/>
      <c r="F479" s="11"/>
      <c r="G479" s="12"/>
      <c r="H479" s="12"/>
      <c r="K479" s="10">
        <f t="shared" si="7"/>
        <v>0</v>
      </c>
      <c r="L479" s="12">
        <f t="shared" si="2"/>
        <v>0</v>
      </c>
      <c r="M479" s="12" t="str">
        <f t="shared" si="6"/>
        <v/>
      </c>
      <c r="N479" s="12" t="str">
        <f t="shared" si="4"/>
        <v/>
      </c>
      <c r="O479" s="12" t="str">
        <f t="shared" si="5"/>
        <v/>
      </c>
      <c r="AI479" s="2" t="s">
        <v>64</v>
      </c>
    </row>
    <row r="480" ht="15.75" customHeight="1">
      <c r="E480" s="10"/>
      <c r="F480" s="11"/>
      <c r="G480" s="12"/>
      <c r="H480" s="12"/>
      <c r="K480" s="10">
        <f t="shared" si="7"/>
        <v>0</v>
      </c>
      <c r="L480" s="12">
        <f t="shared" si="2"/>
        <v>0</v>
      </c>
      <c r="M480" s="12" t="str">
        <f t="shared" si="6"/>
        <v/>
      </c>
      <c r="N480" s="12" t="str">
        <f t="shared" si="4"/>
        <v/>
      </c>
      <c r="O480" s="12" t="str">
        <f t="shared" si="5"/>
        <v/>
      </c>
      <c r="AI480" s="2" t="s">
        <v>64</v>
      </c>
    </row>
    <row r="481" ht="15.75" customHeight="1">
      <c r="E481" s="10"/>
      <c r="F481" s="11"/>
      <c r="G481" s="12"/>
      <c r="H481" s="12"/>
      <c r="K481" s="10">
        <f t="shared" si="7"/>
        <v>0</v>
      </c>
      <c r="L481" s="12">
        <f t="shared" si="2"/>
        <v>0</v>
      </c>
      <c r="M481" s="12" t="str">
        <f t="shared" si="6"/>
        <v/>
      </c>
      <c r="N481" s="12" t="str">
        <f t="shared" si="4"/>
        <v/>
      </c>
      <c r="O481" s="12" t="str">
        <f t="shared" si="5"/>
        <v/>
      </c>
      <c r="AI481" s="2" t="s">
        <v>64</v>
      </c>
    </row>
    <row r="482" ht="15.75" customHeight="1">
      <c r="E482" s="10"/>
      <c r="F482" s="11"/>
      <c r="G482" s="12"/>
      <c r="H482" s="12"/>
      <c r="K482" s="10">
        <f t="shared" si="7"/>
        <v>0</v>
      </c>
      <c r="L482" s="12">
        <f t="shared" si="2"/>
        <v>0</v>
      </c>
      <c r="M482" s="12" t="str">
        <f t="shared" si="6"/>
        <v/>
      </c>
      <c r="N482" s="12" t="str">
        <f t="shared" si="4"/>
        <v/>
      </c>
      <c r="O482" s="12" t="str">
        <f t="shared" si="5"/>
        <v/>
      </c>
      <c r="AI482" s="2" t="s">
        <v>64</v>
      </c>
    </row>
    <row r="483" ht="15.75" customHeight="1">
      <c r="E483" s="10"/>
      <c r="F483" s="11"/>
      <c r="G483" s="12"/>
      <c r="H483" s="12"/>
      <c r="K483" s="10">
        <f t="shared" si="7"/>
        <v>0</v>
      </c>
      <c r="L483" s="12">
        <f t="shared" si="2"/>
        <v>0</v>
      </c>
      <c r="M483" s="12" t="str">
        <f t="shared" si="6"/>
        <v/>
      </c>
      <c r="N483" s="12" t="str">
        <f t="shared" si="4"/>
        <v/>
      </c>
      <c r="O483" s="12" t="str">
        <f t="shared" si="5"/>
        <v/>
      </c>
      <c r="AI483" s="2" t="s">
        <v>64</v>
      </c>
    </row>
    <row r="484" ht="15.75" customHeight="1">
      <c r="E484" s="10"/>
      <c r="F484" s="11"/>
      <c r="G484" s="12"/>
      <c r="H484" s="12"/>
      <c r="K484" s="10">
        <f t="shared" si="7"/>
        <v>0</v>
      </c>
      <c r="L484" s="12">
        <f t="shared" si="2"/>
        <v>0</v>
      </c>
      <c r="M484" s="12" t="str">
        <f t="shared" si="6"/>
        <v/>
      </c>
      <c r="N484" s="12" t="str">
        <f t="shared" si="4"/>
        <v/>
      </c>
      <c r="O484" s="12" t="str">
        <f t="shared" si="5"/>
        <v/>
      </c>
      <c r="AI484" s="2" t="s">
        <v>64</v>
      </c>
    </row>
    <row r="485" ht="15.75" customHeight="1">
      <c r="E485" s="10"/>
      <c r="F485" s="11"/>
      <c r="G485" s="12"/>
      <c r="H485" s="12"/>
      <c r="K485" s="10">
        <f t="shared" si="7"/>
        <v>0</v>
      </c>
      <c r="L485" s="12">
        <f t="shared" si="2"/>
        <v>0</v>
      </c>
      <c r="M485" s="12" t="str">
        <f t="shared" si="6"/>
        <v/>
      </c>
      <c r="N485" s="12" t="str">
        <f t="shared" si="4"/>
        <v/>
      </c>
      <c r="O485" s="12" t="str">
        <f t="shared" si="5"/>
        <v/>
      </c>
      <c r="AI485" s="2" t="s">
        <v>64</v>
      </c>
    </row>
    <row r="486" ht="15.75" customHeight="1">
      <c r="E486" s="10"/>
      <c r="F486" s="11"/>
      <c r="G486" s="12"/>
      <c r="H486" s="12"/>
      <c r="K486" s="10">
        <f t="shared" si="7"/>
        <v>0</v>
      </c>
      <c r="L486" s="12">
        <f t="shared" si="2"/>
        <v>0</v>
      </c>
      <c r="M486" s="12" t="str">
        <f t="shared" si="6"/>
        <v/>
      </c>
      <c r="N486" s="12" t="str">
        <f t="shared" si="4"/>
        <v/>
      </c>
      <c r="O486" s="12" t="str">
        <f t="shared" si="5"/>
        <v/>
      </c>
      <c r="AI486" s="2" t="s">
        <v>64</v>
      </c>
    </row>
    <row r="487" ht="15.75" customHeight="1">
      <c r="E487" s="10"/>
      <c r="F487" s="11"/>
      <c r="G487" s="12"/>
      <c r="H487" s="12"/>
      <c r="K487" s="10">
        <f t="shared" si="7"/>
        <v>0</v>
      </c>
      <c r="L487" s="12">
        <f t="shared" si="2"/>
        <v>0</v>
      </c>
      <c r="M487" s="12" t="str">
        <f t="shared" si="6"/>
        <v/>
      </c>
      <c r="N487" s="12" t="str">
        <f t="shared" si="4"/>
        <v/>
      </c>
      <c r="O487" s="12" t="str">
        <f t="shared" si="5"/>
        <v/>
      </c>
      <c r="AI487" s="2" t="s">
        <v>64</v>
      </c>
    </row>
    <row r="488" ht="15.75" customHeight="1">
      <c r="E488" s="10"/>
      <c r="F488" s="11"/>
      <c r="G488" s="12"/>
      <c r="H488" s="12"/>
      <c r="K488" s="10">
        <f t="shared" si="7"/>
        <v>0</v>
      </c>
      <c r="L488" s="12">
        <f t="shared" si="2"/>
        <v>0</v>
      </c>
      <c r="M488" s="12" t="str">
        <f t="shared" si="6"/>
        <v/>
      </c>
      <c r="N488" s="12" t="str">
        <f t="shared" si="4"/>
        <v/>
      </c>
      <c r="O488" s="12" t="str">
        <f t="shared" si="5"/>
        <v/>
      </c>
      <c r="AI488" s="2" t="s">
        <v>64</v>
      </c>
    </row>
    <row r="489" ht="15.75" customHeight="1">
      <c r="E489" s="10"/>
      <c r="F489" s="11"/>
      <c r="G489" s="12"/>
      <c r="H489" s="12"/>
      <c r="K489" s="10">
        <f t="shared" si="7"/>
        <v>0</v>
      </c>
      <c r="L489" s="12">
        <f t="shared" si="2"/>
        <v>0</v>
      </c>
      <c r="M489" s="12" t="str">
        <f t="shared" si="6"/>
        <v/>
      </c>
      <c r="N489" s="12" t="str">
        <f t="shared" si="4"/>
        <v/>
      </c>
      <c r="O489" s="12" t="str">
        <f t="shared" si="5"/>
        <v/>
      </c>
      <c r="AI489" s="2" t="s">
        <v>64</v>
      </c>
    </row>
    <row r="490" ht="15.75" customHeight="1">
      <c r="E490" s="10"/>
      <c r="F490" s="11"/>
      <c r="G490" s="12"/>
      <c r="H490" s="12"/>
      <c r="K490" s="10">
        <f t="shared" si="7"/>
        <v>0</v>
      </c>
      <c r="L490" s="12">
        <f t="shared" si="2"/>
        <v>0</v>
      </c>
      <c r="M490" s="12" t="str">
        <f t="shared" si="6"/>
        <v/>
      </c>
      <c r="N490" s="12" t="str">
        <f t="shared" si="4"/>
        <v/>
      </c>
      <c r="O490" s="12" t="str">
        <f t="shared" si="5"/>
        <v/>
      </c>
      <c r="AI490" s="2" t="s">
        <v>64</v>
      </c>
    </row>
    <row r="491" ht="15.75" customHeight="1">
      <c r="E491" s="10"/>
      <c r="F491" s="11"/>
      <c r="G491" s="12"/>
      <c r="H491" s="12"/>
      <c r="K491" s="10">
        <f t="shared" si="7"/>
        <v>0</v>
      </c>
      <c r="L491" s="12">
        <f t="shared" si="2"/>
        <v>0</v>
      </c>
      <c r="M491" s="12" t="str">
        <f t="shared" si="6"/>
        <v/>
      </c>
      <c r="N491" s="12" t="str">
        <f t="shared" si="4"/>
        <v/>
      </c>
      <c r="O491" s="12" t="str">
        <f t="shared" si="5"/>
        <v/>
      </c>
      <c r="AI491" s="2" t="s">
        <v>64</v>
      </c>
    </row>
    <row r="492" ht="15.75" customHeight="1">
      <c r="E492" s="10"/>
      <c r="F492" s="11"/>
      <c r="G492" s="12"/>
      <c r="H492" s="12"/>
      <c r="K492" s="10">
        <f t="shared" si="7"/>
        <v>0</v>
      </c>
      <c r="L492" s="12">
        <f t="shared" si="2"/>
        <v>0</v>
      </c>
      <c r="M492" s="12" t="str">
        <f t="shared" si="6"/>
        <v/>
      </c>
      <c r="N492" s="12" t="str">
        <f t="shared" si="4"/>
        <v/>
      </c>
      <c r="O492" s="12" t="str">
        <f t="shared" si="5"/>
        <v/>
      </c>
      <c r="AI492" s="2" t="s">
        <v>64</v>
      </c>
    </row>
    <row r="493" ht="15.75" customHeight="1">
      <c r="E493" s="10"/>
      <c r="F493" s="11"/>
      <c r="G493" s="12"/>
      <c r="H493" s="12"/>
      <c r="K493" s="10">
        <f t="shared" si="7"/>
        <v>0</v>
      </c>
      <c r="L493" s="12">
        <f t="shared" si="2"/>
        <v>0</v>
      </c>
      <c r="M493" s="12" t="str">
        <f t="shared" si="6"/>
        <v/>
      </c>
      <c r="N493" s="12" t="str">
        <f t="shared" si="4"/>
        <v/>
      </c>
      <c r="O493" s="12" t="str">
        <f t="shared" si="5"/>
        <v/>
      </c>
      <c r="AI493" s="2" t="s">
        <v>64</v>
      </c>
    </row>
    <row r="494" ht="15.75" customHeight="1">
      <c r="E494" s="10"/>
      <c r="F494" s="11"/>
      <c r="G494" s="12"/>
      <c r="H494" s="12"/>
      <c r="K494" s="10">
        <f t="shared" si="7"/>
        <v>0</v>
      </c>
      <c r="L494" s="12">
        <f t="shared" si="2"/>
        <v>0</v>
      </c>
      <c r="M494" s="12" t="str">
        <f t="shared" si="6"/>
        <v/>
      </c>
      <c r="N494" s="12" t="str">
        <f t="shared" si="4"/>
        <v/>
      </c>
      <c r="O494" s="12" t="str">
        <f t="shared" si="5"/>
        <v/>
      </c>
      <c r="AI494" s="2" t="s">
        <v>64</v>
      </c>
    </row>
    <row r="495" ht="15.75" customHeight="1">
      <c r="E495" s="10"/>
      <c r="F495" s="11"/>
      <c r="G495" s="12"/>
      <c r="H495" s="12"/>
      <c r="K495" s="10">
        <f t="shared" si="7"/>
        <v>0</v>
      </c>
      <c r="L495" s="12">
        <f t="shared" si="2"/>
        <v>0</v>
      </c>
      <c r="M495" s="12" t="str">
        <f t="shared" si="6"/>
        <v/>
      </c>
      <c r="N495" s="12" t="str">
        <f t="shared" si="4"/>
        <v/>
      </c>
      <c r="O495" s="12" t="str">
        <f t="shared" si="5"/>
        <v/>
      </c>
      <c r="AI495" s="2" t="s">
        <v>64</v>
      </c>
    </row>
    <row r="496" ht="15.75" customHeight="1">
      <c r="E496" s="10"/>
      <c r="F496" s="11"/>
      <c r="G496" s="12"/>
      <c r="H496" s="12"/>
      <c r="K496" s="10">
        <f t="shared" si="7"/>
        <v>0</v>
      </c>
      <c r="L496" s="12">
        <f t="shared" si="2"/>
        <v>0</v>
      </c>
      <c r="M496" s="12" t="str">
        <f t="shared" si="6"/>
        <v/>
      </c>
      <c r="N496" s="12" t="str">
        <f t="shared" si="4"/>
        <v/>
      </c>
      <c r="O496" s="12" t="str">
        <f t="shared" si="5"/>
        <v/>
      </c>
      <c r="AI496" s="2" t="s">
        <v>64</v>
      </c>
    </row>
    <row r="497" ht="15.75" customHeight="1">
      <c r="E497" s="10"/>
      <c r="F497" s="11"/>
      <c r="G497" s="12"/>
      <c r="H497" s="12"/>
      <c r="K497" s="10">
        <f t="shared" si="7"/>
        <v>0</v>
      </c>
      <c r="L497" s="12">
        <f t="shared" si="2"/>
        <v>0</v>
      </c>
      <c r="M497" s="12" t="str">
        <f t="shared" si="6"/>
        <v/>
      </c>
      <c r="N497" s="12" t="str">
        <f t="shared" si="4"/>
        <v/>
      </c>
      <c r="O497" s="12" t="str">
        <f t="shared" si="5"/>
        <v/>
      </c>
      <c r="AI497" s="2" t="s">
        <v>64</v>
      </c>
    </row>
    <row r="498" ht="15.75" customHeight="1">
      <c r="E498" s="10"/>
      <c r="F498" s="11"/>
      <c r="G498" s="12"/>
      <c r="H498" s="12"/>
      <c r="K498" s="10">
        <f t="shared" si="7"/>
        <v>0</v>
      </c>
      <c r="L498" s="12">
        <f t="shared" si="2"/>
        <v>0</v>
      </c>
      <c r="M498" s="12" t="str">
        <f t="shared" si="6"/>
        <v/>
      </c>
      <c r="N498" s="12" t="str">
        <f t="shared" si="4"/>
        <v/>
      </c>
      <c r="O498" s="12" t="str">
        <f t="shared" si="5"/>
        <v/>
      </c>
      <c r="AI498" s="2" t="s">
        <v>64</v>
      </c>
    </row>
    <row r="499" ht="15.75" customHeight="1">
      <c r="E499" s="10"/>
      <c r="F499" s="11"/>
      <c r="G499" s="12"/>
      <c r="H499" s="12"/>
      <c r="K499" s="10">
        <f t="shared" si="7"/>
        <v>0</v>
      </c>
      <c r="L499" s="12">
        <f t="shared" si="2"/>
        <v>0</v>
      </c>
      <c r="M499" s="12" t="str">
        <f t="shared" si="6"/>
        <v/>
      </c>
      <c r="N499" s="12" t="str">
        <f t="shared" si="4"/>
        <v/>
      </c>
      <c r="O499" s="12" t="str">
        <f t="shared" si="5"/>
        <v/>
      </c>
      <c r="AI499" s="2" t="s">
        <v>64</v>
      </c>
    </row>
    <row r="500" ht="15.75" customHeight="1">
      <c r="E500" s="10"/>
      <c r="F500" s="11"/>
      <c r="G500" s="12"/>
      <c r="H500" s="12"/>
      <c r="K500" s="10">
        <f t="shared" si="7"/>
        <v>0</v>
      </c>
      <c r="L500" s="12">
        <f t="shared" si="2"/>
        <v>0</v>
      </c>
      <c r="M500" s="12" t="str">
        <f t="shared" si="6"/>
        <v/>
      </c>
      <c r="N500" s="12" t="str">
        <f t="shared" si="4"/>
        <v/>
      </c>
      <c r="O500" s="12" t="str">
        <f t="shared" si="5"/>
        <v/>
      </c>
      <c r="AI500" s="2" t="s">
        <v>64</v>
      </c>
    </row>
    <row r="501" ht="15.75" customHeight="1">
      <c r="E501" s="10"/>
      <c r="F501" s="11"/>
      <c r="G501" s="12"/>
      <c r="H501" s="12"/>
      <c r="K501" s="10">
        <f t="shared" si="7"/>
        <v>0</v>
      </c>
      <c r="L501" s="12">
        <f t="shared" si="2"/>
        <v>0</v>
      </c>
      <c r="M501" s="12" t="str">
        <f t="shared" si="6"/>
        <v/>
      </c>
      <c r="N501" s="12" t="str">
        <f t="shared" si="4"/>
        <v/>
      </c>
      <c r="O501" s="12" t="str">
        <f t="shared" si="5"/>
        <v/>
      </c>
      <c r="AI501" s="2" t="s">
        <v>64</v>
      </c>
    </row>
    <row r="502" ht="15.75" customHeight="1">
      <c r="AI502" s="2" t="s">
        <v>64</v>
      </c>
    </row>
    <row r="503" ht="15.75" customHeight="1">
      <c r="L503" s="18">
        <f>SUM(L2:L501)</f>
        <v>14297150</v>
      </c>
      <c r="AI503" s="2" t="s">
        <v>64</v>
      </c>
    </row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P$503">
    <sortState ref="A1:P503">
      <sortCondition ref="B1:B503"/>
    </sortState>
  </autoFilter>
  <conditionalFormatting sqref="K2:K501">
    <cfRule type="cellIs" dxfId="0" priority="1" operator="lessThan">
      <formula>0</formula>
    </cfRule>
  </conditionalFormatting>
  <conditionalFormatting sqref="K2:K501">
    <cfRule type="cellIs" dxfId="1" priority="2" operator="equal">
      <formula>0</formula>
    </cfRule>
  </conditionalFormatting>
  <dataValidations>
    <dataValidation type="list" allowBlank="1" sqref="E2:E501">
      <formula1>"Фильтры,Тормоза,Подвеска,Двигатель,Электрика,Кузов,Расходники,Другое"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0.0"/>
    <col customWidth="1" min="3" max="3" width="10.43"/>
    <col customWidth="1" min="4" max="4" width="17.14"/>
    <col customWidth="1" min="5" max="26" width="8.71"/>
  </cols>
  <sheetData>
    <row r="1">
      <c r="A1" s="4" t="s">
        <v>2</v>
      </c>
    </row>
    <row r="2">
      <c r="A2" s="6" t="s">
        <v>24</v>
      </c>
      <c r="B2" s="9" t="s">
        <v>34</v>
      </c>
    </row>
    <row r="3">
      <c r="A3" s="10" t="s">
        <v>44</v>
      </c>
      <c r="B3" s="14">
        <f>COUNTIF('Запчасти'!B2:B501,"&lt;&gt;")</f>
        <v>293</v>
      </c>
    </row>
    <row r="4">
      <c r="A4" s="10" t="s">
        <v>73</v>
      </c>
      <c r="B4" s="15">
        <f>SUM('Запчасти'!K2:K501)</f>
        <v>3017</v>
      </c>
    </row>
    <row r="5">
      <c r="A5" s="2" t="s">
        <v>74</v>
      </c>
      <c r="B5" s="12">
        <f>'Запчасти'!L503</f>
        <v>14297150</v>
      </c>
      <c r="C5" s="16">
        <f>B5/450</f>
        <v>31771.44444</v>
      </c>
      <c r="D5" s="17" t="s">
        <v>75</v>
      </c>
    </row>
    <row r="6">
      <c r="A6" s="10" t="s">
        <v>35</v>
      </c>
      <c r="B6" s="12">
        <f>SUM('Запчасти'!M2:M501)</f>
        <v>0</v>
      </c>
    </row>
    <row r="7">
      <c r="A7" s="10" t="s">
        <v>37</v>
      </c>
      <c r="B7" s="12">
        <f>SUM('Запчасти'!N2:N501)</f>
        <v>0</v>
      </c>
    </row>
    <row r="8">
      <c r="A8" s="10" t="s">
        <v>41</v>
      </c>
      <c r="B8" s="18">
        <f>SUM('Запчасти'!O2:O501)</f>
        <v>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00.0"/>
    <col customWidth="1" min="3" max="26" width="8.71"/>
  </cols>
  <sheetData>
    <row r="1">
      <c r="A1" s="3" t="s">
        <v>1</v>
      </c>
      <c r="B1" s="5" t="s">
        <v>15</v>
      </c>
    </row>
    <row r="2">
      <c r="A2" s="5" t="s">
        <v>26</v>
      </c>
      <c r="B2" s="5" t="s">
        <v>29</v>
      </c>
    </row>
    <row r="3">
      <c r="A3" s="5" t="s">
        <v>31</v>
      </c>
      <c r="B3" s="5" t="s">
        <v>33</v>
      </c>
    </row>
    <row r="4">
      <c r="A4" s="5" t="s">
        <v>36</v>
      </c>
      <c r="B4" s="5" t="s">
        <v>39</v>
      </c>
    </row>
    <row r="5">
      <c r="A5" s="5" t="s">
        <v>43</v>
      </c>
      <c r="B5" s="5" t="s">
        <v>46</v>
      </c>
    </row>
    <row r="6">
      <c r="A6" s="5" t="s">
        <v>49</v>
      </c>
      <c r="B6" s="5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3</v>
      </c>
      <c r="B1" s="2" t="s">
        <v>7</v>
      </c>
      <c r="C1" s="2" t="s">
        <v>8</v>
      </c>
      <c r="D1" s="2" t="s">
        <v>10</v>
      </c>
      <c r="E1" s="2" t="s">
        <v>12</v>
      </c>
      <c r="F1" s="2" t="s">
        <v>14</v>
      </c>
      <c r="G1" s="2" t="s">
        <v>17</v>
      </c>
      <c r="H1" s="2" t="s">
        <v>19</v>
      </c>
      <c r="I1" s="2" t="s">
        <v>21</v>
      </c>
      <c r="J1" s="2" t="s">
        <v>23</v>
      </c>
      <c r="K1" s="2" t="s">
        <v>25</v>
      </c>
    </row>
    <row r="2">
      <c r="A2" s="2" t="s">
        <v>28</v>
      </c>
      <c r="B2" s="2" t="s">
        <v>30</v>
      </c>
      <c r="C2" s="8" t="s">
        <v>32</v>
      </c>
      <c r="D2" s="8" t="s">
        <v>38</v>
      </c>
      <c r="E2" s="8" t="s">
        <v>40</v>
      </c>
      <c r="F2" s="2" t="s">
        <v>42</v>
      </c>
      <c r="G2" s="2" t="s">
        <v>45</v>
      </c>
      <c r="H2" s="2" t="s">
        <v>47</v>
      </c>
      <c r="I2" s="2"/>
      <c r="J2" s="2"/>
      <c r="K2" s="2"/>
    </row>
    <row r="3">
      <c r="A3" s="2" t="s">
        <v>50</v>
      </c>
      <c r="B3" s="2" t="s">
        <v>52</v>
      </c>
      <c r="C3" s="8" t="s">
        <v>32</v>
      </c>
      <c r="D3" s="8" t="s">
        <v>38</v>
      </c>
      <c r="E3" s="8" t="s">
        <v>55</v>
      </c>
      <c r="F3" s="2" t="s">
        <v>56</v>
      </c>
      <c r="G3" s="2" t="s">
        <v>57</v>
      </c>
      <c r="H3" s="2" t="s">
        <v>47</v>
      </c>
      <c r="I3" s="2"/>
      <c r="J3" s="2"/>
      <c r="K3" s="2"/>
    </row>
    <row r="4">
      <c r="A4" s="2" t="s">
        <v>58</v>
      </c>
      <c r="B4" s="2" t="s">
        <v>59</v>
      </c>
      <c r="C4" s="8" t="s">
        <v>60</v>
      </c>
      <c r="D4" s="8" t="s">
        <v>31</v>
      </c>
      <c r="E4" s="8" t="s">
        <v>61</v>
      </c>
      <c r="F4" s="2" t="s">
        <v>62</v>
      </c>
      <c r="G4" s="2" t="s">
        <v>63</v>
      </c>
      <c r="H4" s="2" t="s">
        <v>47</v>
      </c>
      <c r="I4" s="2" t="s">
        <v>64</v>
      </c>
      <c r="J4" s="8" t="s">
        <v>61</v>
      </c>
      <c r="K4" s="2" t="s">
        <v>65</v>
      </c>
    </row>
    <row r="5">
      <c r="A5" s="2" t="s">
        <v>66</v>
      </c>
      <c r="B5" s="2" t="s">
        <v>67</v>
      </c>
      <c r="C5" s="8" t="s">
        <v>32</v>
      </c>
      <c r="D5" s="8" t="s">
        <v>38</v>
      </c>
      <c r="E5" s="8" t="s">
        <v>69</v>
      </c>
      <c r="F5" s="2" t="s">
        <v>70</v>
      </c>
      <c r="G5" s="2" t="s">
        <v>71</v>
      </c>
      <c r="H5" s="2" t="s">
        <v>47</v>
      </c>
      <c r="I5" s="8" t="s">
        <v>69</v>
      </c>
      <c r="J5" s="8" t="s">
        <v>72</v>
      </c>
      <c r="K5" s="2" t="s">
        <v>64</v>
      </c>
    </row>
  </sheetData>
  <drawing r:id="rId1"/>
</worksheet>
</file>