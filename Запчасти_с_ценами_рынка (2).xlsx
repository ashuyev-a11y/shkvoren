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пчасти" sheetId="1" state="visible" r:id="rId3"/>
    <sheet name="Настройки цен" sheetId="2" state="visible" r:id="rId4"/>
    <sheet name="Сводка" sheetId="3" state="visible" r:id="rId5"/>
    <sheet name="Как пользоваться" sheetId="4" state="visible" r:id="rId6"/>
  </sheets>
  <definedNames>
    <definedName function="false" hidden="true" localSheetId="0" name="_xlnm._FilterDatabase" vbProcedure="false">Запчасти!$A$1:$P$502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C1" authorId="0">
      <text>
        <r>
          <rPr>
            <sz val="10"/>
            <rFont val="Arial"/>
            <family val="2"/>
          </rPr>
          <t xml:space="preserve">Среднее по найденным ценам, пересчитанным в тенге по курсу из «Настройки цен». Источники с «0» в строке «Учитывать» не входят.</t>
        </r>
      </text>
    </comment>
    <comment ref="AE1" authorId="0">
      <text>
        <r>
          <rPr>
            <sz val="10"/>
            <rFont val="Arial"/>
            <family val="2"/>
          </rPr>
          <t xml:space="preserve">Своя наценка строки → наценка категории → общая наценка.</t>
        </r>
      </text>
    </comment>
    <comment ref="AG1" authorId="0">
      <text>
        <r>
          <rPr>
            <sz val="10"/>
            <rFont val="Arial"/>
            <family val="2"/>
          </rPr>
          <t xml:space="preserve">+30% = сейчас продаём на 30% дороже средней по рынку; −20% = дешевле.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Около 5,2–5,4 ₸ по данным Wise за 8–11.09.2026. Обновляйте перед пересчётом.</t>
        </r>
      </text>
    </comment>
    <comment ref="B4" authorId="0">
      <text>
        <r>
          <rPr>
            <sz val="10"/>
            <rFont val="Arial"/>
            <family val="2"/>
          </rPr>
          <t xml:space="preserve">0% — сравниваем «как есть». Если хотите учесть, во что обошлась бы деталь из РФ, поставьте 15–25%.</t>
        </r>
      </text>
    </comment>
    <comment ref="B5" authorId="0">
      <text>
        <r>
          <rPr>
            <sz val="10"/>
            <rFont val="Arial"/>
            <family val="2"/>
          </rPr>
          <t xml:space="preserve">Применяется, если для категории и строки своя наценка не задана. Можно отрицательную: −10% = на 10% дешевле рынка.</t>
        </r>
      </text>
    </comment>
    <comment ref="B6" authorId="0">
      <text>
        <r>
          <rPr>
            <sz val="10"/>
            <rFont val="Arial"/>
            <family val="2"/>
          </rPr>
          <t xml:space="preserve">100 → 17 450 станет 17 500</t>
        </r>
      </text>
    </comment>
    <comment ref="K10" authorId="0">
      <text>
        <r>
          <rPr>
            <sz val="10"/>
            <rFont val="Arial"/>
            <family val="2"/>
          </rPr>
          <t xml:space="preserve">Ozon в Казахстане показывает цены в тенге. Если берёте цены с ozon.ru — поставьте RUB.</t>
        </r>
      </text>
    </comment>
  </commentList>
</comments>
</file>

<file path=xl/sharedStrings.xml><?xml version="1.0" encoding="utf-8"?>
<sst xmlns="http://schemas.openxmlformats.org/spreadsheetml/2006/main" count="1156" uniqueCount="548">
  <si>
    <t xml:space="preserve">Артикул</t>
  </si>
  <si>
    <t xml:space="preserve">Наименование</t>
  </si>
  <si>
    <t xml:space="preserve">Производитель</t>
  </si>
  <si>
    <t xml:space="preserve">Подходит к авто</t>
  </si>
  <si>
    <t xml:space="preserve">Категория</t>
  </si>
  <si>
    <t xml:space="preserve">Дата поступления</t>
  </si>
  <si>
    <t xml:space="preserve">Закупочная цена</t>
  </si>
  <si>
    <t xml:space="preserve">Цена продажи</t>
  </si>
  <si>
    <t xml:space="preserve">Поступило</t>
  </si>
  <si>
    <t xml:space="preserve">Продано</t>
  </si>
  <si>
    <t xml:space="preserve">Остаток</t>
  </si>
  <si>
    <t xml:space="preserve">Всего на сумму</t>
  </si>
  <si>
    <t xml:space="preserve">Выручка</t>
  </si>
  <si>
    <t xml:space="preserve">Себестоимость проданного</t>
  </si>
  <si>
    <t xml:space="preserve">Прибыль</t>
  </si>
  <si>
    <t xml:space="preserve">Комментарий</t>
  </si>
  <si>
    <t xml:space="preserve">Артикул (текст)</t>
  </si>
  <si>
    <t xml:space="preserve">autogur73.ru, RUB</t>
  </si>
  <si>
    <t xml:space="preserve">chipdip.kz, KZT</t>
  </si>
  <si>
    <t xml:space="preserve">uaz.store, RUB</t>
  </si>
  <si>
    <t xml:space="preserve">metalpart.ru, RUB</t>
  </si>
  <si>
    <t xml:space="preserve">detaliuaz.ru, RUB</t>
  </si>
  <si>
    <t xml:space="preserve">vta-gaz.ru, RUB</t>
  </si>
  <si>
    <t xml:space="preserve">spectuninguaz.ru, RUB</t>
  </si>
  <si>
    <t xml:space="preserve">4uaz.ru, RUB</t>
  </si>
  <si>
    <t xml:space="preserve">Kaspi, KZT</t>
  </si>
  <si>
    <t xml:space="preserve">Ozon, KZT</t>
  </si>
  <si>
    <t xml:space="preserve">Найдено цен</t>
  </si>
  <si>
    <t xml:space="preserve">Средняя цена рынка, ₸</t>
  </si>
  <si>
    <t xml:space="preserve">Своя наценка, %</t>
  </si>
  <si>
    <t xml:space="preserve">Наценка итого, %</t>
  </si>
  <si>
    <t xml:space="preserve">Новая цена, ₸</t>
  </si>
  <si>
    <t xml:space="preserve">Текущая цена к рынку</t>
  </si>
  <si>
    <t xml:space="preserve">Ссылки / заметки по ценам</t>
  </si>
  <si>
    <t xml:space="preserve">Задний тормозной барабан</t>
  </si>
  <si>
    <t xml:space="preserve">Уаз</t>
  </si>
  <si>
    <t xml:space="preserve">УАЗ Буханка</t>
  </si>
  <si>
    <t xml:space="preserve">Тормоза</t>
  </si>
  <si>
    <t xml:space="preserve">4693501070</t>
  </si>
  <si>
    <t xml:space="preserve">Не в списке сайтов, для справки: АДС ~3 200 ₽, оригинал УАЗ ~5 000–6 000 ₽ (sparox.ru, uazist.ru). Цена сильно зависит от производителя.</t>
  </si>
  <si>
    <t xml:space="preserve">Тормозной щит</t>
  </si>
  <si>
    <t xml:space="preserve">УАЗ</t>
  </si>
  <si>
    <t xml:space="preserve">37413502013</t>
  </si>
  <si>
    <t xml:space="preserve">Щиток тормозного диска</t>
  </si>
  <si>
    <t xml:space="preserve">316000350108400</t>
  </si>
  <si>
    <t xml:space="preserve">Тормозной суппорт УАЗ </t>
  </si>
  <si>
    <t xml:space="preserve">31603501014</t>
  </si>
  <si>
    <t xml:space="preserve">detaliuaz.ru: суппорт УАЗ-3160 левый 8 429 ₽ (правый 9 357 ₽). ВНИМАНИЕ: по каталогам 3163-3501014 — это скоба суппорта, а не суппорт. Сверить деталь.</t>
  </si>
  <si>
    <t xml:space="preserve">Тормозной диск </t>
  </si>
  <si>
    <t xml:space="preserve">3160350107602</t>
  </si>
  <si>
    <t xml:space="preserve">Задние тормозные колодки </t>
  </si>
  <si>
    <t xml:space="preserve">220600350209110</t>
  </si>
  <si>
    <t xml:space="preserve">Дисковые колодки тормозные</t>
  </si>
  <si>
    <t xml:space="preserve">316300350108805</t>
  </si>
  <si>
    <t xml:space="preserve">Ремкомплект шкворня моста спайсер</t>
  </si>
  <si>
    <t xml:space="preserve">Подвеска</t>
  </si>
  <si>
    <t xml:space="preserve">31632304019</t>
  </si>
  <si>
    <t xml:space="preserve">Хабы оригинал (комплект)</t>
  </si>
  <si>
    <t xml:space="preserve">315120230440001</t>
  </si>
  <si>
    <t xml:space="preserve">Ремкомплект поворотного кулака Хантер</t>
  </si>
  <si>
    <t xml:space="preserve">Чашки листа рессоры + заклепки</t>
  </si>
  <si>
    <t xml:space="preserve">Ремкомплект шкворня моста Хантер</t>
  </si>
  <si>
    <t xml:space="preserve">42x68x16.4</t>
  </si>
  <si>
    <t xml:space="preserve">Сальник хвостовика раздаточной коробки </t>
  </si>
  <si>
    <t xml:space="preserve">38x56x10</t>
  </si>
  <si>
    <t xml:space="preserve">Сальник в кпп</t>
  </si>
  <si>
    <t xml:space="preserve">ГАЗ</t>
  </si>
  <si>
    <t xml:space="preserve">40x56x7.5</t>
  </si>
  <si>
    <t xml:space="preserve">Сальник коленвала </t>
  </si>
  <si>
    <t xml:space="preserve">ВАЗ</t>
  </si>
  <si>
    <t xml:space="preserve">Двигатель</t>
  </si>
  <si>
    <t xml:space="preserve">80x100x10</t>
  </si>
  <si>
    <t xml:space="preserve">Крестовина нива</t>
  </si>
  <si>
    <t xml:space="preserve">21212202025</t>
  </si>
  <si>
    <t xml:space="preserve">Крестовина Жигули</t>
  </si>
  <si>
    <t xml:space="preserve">21052202025</t>
  </si>
  <si>
    <t xml:space="preserve">Тормозной цилиндр передний левый </t>
  </si>
  <si>
    <t xml:space="preserve">469003501041496</t>
  </si>
  <si>
    <t xml:space="preserve">Тормозной цилиндр передний правый</t>
  </si>
  <si>
    <t xml:space="preserve">469003501040496</t>
  </si>
  <si>
    <t xml:space="preserve">Шаровая опора поворотного кулака</t>
  </si>
  <si>
    <t xml:space="preserve">Передняя крышка блока цилиндров</t>
  </si>
  <si>
    <t xml:space="preserve">УАЗ/ГАЗ</t>
  </si>
  <si>
    <t xml:space="preserve">4171002060</t>
  </si>
  <si>
    <t xml:space="preserve">45x85x24.75</t>
  </si>
  <si>
    <t xml:space="preserve">Подшипник ступицы </t>
  </si>
  <si>
    <t xml:space="preserve">50x90x24.75</t>
  </si>
  <si>
    <t xml:space="preserve">Подшипник дифференциала</t>
  </si>
  <si>
    <t xml:space="preserve">Хабы Noname (комплект)</t>
  </si>
  <si>
    <t xml:space="preserve">Муфта КПП 3-4 передачи со ступицей</t>
  </si>
  <si>
    <t xml:space="preserve">4511701120</t>
  </si>
  <si>
    <t xml:space="preserve">Шестерня 2й передачи н/о</t>
  </si>
  <si>
    <t xml:space="preserve">4691701127</t>
  </si>
  <si>
    <t xml:space="preserve">Шестерня 1й передачи</t>
  </si>
  <si>
    <t xml:space="preserve">45150170111200</t>
  </si>
  <si>
    <t xml:space="preserve">Шайба стопорная переднего колеса </t>
  </si>
  <si>
    <t xml:space="preserve">61121168</t>
  </si>
  <si>
    <t xml:space="preserve">Подшипник вторичного вала КПП</t>
  </si>
  <si>
    <t xml:space="preserve">3207</t>
  </si>
  <si>
    <t xml:space="preserve">Муфта переключения 1-2й передачи</t>
  </si>
  <si>
    <t xml:space="preserve">4691701134</t>
  </si>
  <si>
    <t xml:space="preserve">Муфта синхронизатора 3-4 й передачи</t>
  </si>
  <si>
    <t xml:space="preserve">4691701116</t>
  </si>
  <si>
    <t xml:space="preserve">Крестовина карданного вала</t>
  </si>
  <si>
    <t xml:space="preserve">3102220102522</t>
  </si>
  <si>
    <t xml:space="preserve">detaliuaz.ru: крестовина кардана УАЗ/ГАЗ d30 «Автомагнат» 664 ₽ (аналог, не оригинал). Наша цена 10 000 ₸ — сильно выше рынка РФ.</t>
  </si>
  <si>
    <t xml:space="preserve">муфта скользящая фланца </t>
  </si>
  <si>
    <t xml:space="preserve">452002304112</t>
  </si>
  <si>
    <t xml:space="preserve">Хаб Noname (1шт)</t>
  </si>
  <si>
    <t xml:space="preserve">315120230440003</t>
  </si>
  <si>
    <t xml:space="preserve">Шестерня привода спидометра 16-17 зубов</t>
  </si>
  <si>
    <t xml:space="preserve">Другое</t>
  </si>
  <si>
    <t xml:space="preserve">374100380203400</t>
  </si>
  <si>
    <t xml:space="preserve">Шестерня привода спидометра 21 зуб</t>
  </si>
  <si>
    <t xml:space="preserve">33073802034</t>
  </si>
  <si>
    <t xml:space="preserve">Вал промежуточный</t>
  </si>
  <si>
    <t xml:space="preserve">374100170125000</t>
  </si>
  <si>
    <t xml:space="preserve">42x68x10x15.5</t>
  </si>
  <si>
    <t xml:space="preserve">Сальник хвостовика и РК</t>
  </si>
  <si>
    <t xml:space="preserve">Кольцо синхронизатора н/о</t>
  </si>
  <si>
    <t xml:space="preserve">4691701164</t>
  </si>
  <si>
    <t xml:space="preserve">Ремкомплект суппорта </t>
  </si>
  <si>
    <t xml:space="preserve">Подшипник ведущей шестерни главной передачи</t>
  </si>
  <si>
    <t xml:space="preserve">57707</t>
  </si>
  <si>
    <t xml:space="preserve">крышка подшипника первичного вала КПП</t>
  </si>
  <si>
    <t xml:space="preserve">451501701040</t>
  </si>
  <si>
    <t xml:space="preserve">Корпус поворотного кулака правый</t>
  </si>
  <si>
    <t xml:space="preserve">Корпус поворотного кулака левый</t>
  </si>
  <si>
    <t xml:space="preserve">Рулевой наконечник</t>
  </si>
  <si>
    <t xml:space="preserve">Кольцо синхронизатора с/о</t>
  </si>
  <si>
    <t xml:space="preserve">Сальник коленвала</t>
  </si>
  <si>
    <t xml:space="preserve">Сальник ступицы колеса</t>
  </si>
  <si>
    <t xml:space="preserve">37413103038</t>
  </si>
  <si>
    <t xml:space="preserve">Опора шкворня </t>
  </si>
  <si>
    <t xml:space="preserve">Ручка двери</t>
  </si>
  <si>
    <t xml:space="preserve">Кузов</t>
  </si>
  <si>
    <t xml:space="preserve">Задняя печка патриот</t>
  </si>
  <si>
    <t xml:space="preserve">Электрика</t>
  </si>
  <si>
    <t xml:space="preserve">316300811001007</t>
  </si>
  <si>
    <t xml:space="preserve">Топливный фильтр</t>
  </si>
  <si>
    <t xml:space="preserve">Фильтры</t>
  </si>
  <si>
    <t xml:space="preserve">310291117010</t>
  </si>
  <si>
    <t xml:space="preserve">Вкладыши шатунные 0.25</t>
  </si>
  <si>
    <t xml:space="preserve">24100010202</t>
  </si>
  <si>
    <t xml:space="preserve">Вкладыши коренные 0.50</t>
  </si>
  <si>
    <t xml:space="preserve">24100010231</t>
  </si>
  <si>
    <t xml:space="preserve">Вкладыши шатунные 0.75</t>
  </si>
  <si>
    <t xml:space="preserve">241000104</t>
  </si>
  <si>
    <t xml:space="preserve">Поршневые кольца (комплект)</t>
  </si>
  <si>
    <t xml:space="preserve">24100010010</t>
  </si>
  <si>
    <t xml:space="preserve">Рычаг нажимного диска</t>
  </si>
  <si>
    <t xml:space="preserve">24501601094</t>
  </si>
  <si>
    <t xml:space="preserve">Шпилька колеса</t>
  </si>
  <si>
    <t xml:space="preserve">Крышка стартера</t>
  </si>
  <si>
    <t xml:space="preserve">Тормозной шланг длинный</t>
  </si>
  <si>
    <t xml:space="preserve">Удлинитель соска колеса</t>
  </si>
  <si>
    <t xml:space="preserve">Тормозная трубка </t>
  </si>
  <si>
    <t xml:space="preserve">Трос спидометра</t>
  </si>
  <si>
    <t xml:space="preserve">Трос подсоса</t>
  </si>
  <si>
    <t xml:space="preserve">Промвал КПП 4-ст старого образца</t>
  </si>
  <si>
    <t xml:space="preserve">45150170105010</t>
  </si>
  <si>
    <t xml:space="preserve">Цапфа поворотного кулака</t>
  </si>
  <si>
    <t xml:space="preserve">6900230408000</t>
  </si>
  <si>
    <t xml:space="preserve">Промвал КПП 4-ст нового образца</t>
  </si>
  <si>
    <t xml:space="preserve">46900170104600</t>
  </si>
  <si>
    <t xml:space="preserve">Первичный вал ГАЗ 53</t>
  </si>
  <si>
    <t xml:space="preserve">53121701302</t>
  </si>
  <si>
    <t xml:space="preserve">53А170201002</t>
  </si>
  <si>
    <t xml:space="preserve">Крышка КПП на газ 3307 в сборе </t>
  </si>
  <si>
    <t xml:space="preserve">Крышка КПП Газ 3307 </t>
  </si>
  <si>
    <t xml:space="preserve">Крышка КПП </t>
  </si>
  <si>
    <t xml:space="preserve">451170201510</t>
  </si>
  <si>
    <t xml:space="preserve">Блок шестерен КПП</t>
  </si>
  <si>
    <t xml:space="preserve">Крышка КПП старого образца</t>
  </si>
  <si>
    <t xml:space="preserve">469170201530</t>
  </si>
  <si>
    <t xml:space="preserve">Кронштейн рессоры</t>
  </si>
  <si>
    <t xml:space="preserve">45150290244592</t>
  </si>
  <si>
    <t xml:space="preserve">451Д1701030</t>
  </si>
  <si>
    <t xml:space="preserve">Первичный вал КПП </t>
  </si>
  <si>
    <t xml:space="preserve">Фланец вала привода заднего моста</t>
  </si>
  <si>
    <t xml:space="preserve">69180207501</t>
  </si>
  <si>
    <t xml:space="preserve">Ступица колеса</t>
  </si>
  <si>
    <t xml:space="preserve">69310301501</t>
  </si>
  <si>
    <t xml:space="preserve">Корпус КПП старого образца</t>
  </si>
  <si>
    <t xml:space="preserve">452170101522</t>
  </si>
  <si>
    <t xml:space="preserve">Блок шестерен заднего хода</t>
  </si>
  <si>
    <t xml:space="preserve">521701080</t>
  </si>
  <si>
    <t xml:space="preserve">Шестерня второй передачи</t>
  </si>
  <si>
    <t xml:space="preserve">521701111</t>
  </si>
  <si>
    <t xml:space="preserve">Шестерня первой передачи</t>
  </si>
  <si>
    <t xml:space="preserve">52170111031</t>
  </si>
  <si>
    <t xml:space="preserve">Фланец первичного вала РК</t>
  </si>
  <si>
    <t xml:space="preserve">631802076</t>
  </si>
  <si>
    <t xml:space="preserve">6305n</t>
  </si>
  <si>
    <t xml:space="preserve">Подшипник пром вала КПП</t>
  </si>
  <si>
    <t xml:space="preserve">Задний тормозной цилиндр 25мм</t>
  </si>
  <si>
    <t xml:space="preserve">31513502040</t>
  </si>
  <si>
    <t xml:space="preserve">Задний тормозной цилиндр 32мм</t>
  </si>
  <si>
    <t xml:space="preserve">4693502040</t>
  </si>
  <si>
    <t xml:space="preserve">Крышка люка вала отбора мощности или КПП</t>
  </si>
  <si>
    <t xml:space="preserve">521701020</t>
  </si>
  <si>
    <t xml:space="preserve">Вторичный вал КПП</t>
  </si>
  <si>
    <t xml:space="preserve">53121701101</t>
  </si>
  <si>
    <t xml:space="preserve">КПП 4-ст старого образца</t>
  </si>
  <si>
    <t xml:space="preserve">4521700010</t>
  </si>
  <si>
    <t xml:space="preserve">Вал привода переднего моста выходной вал раздатки</t>
  </si>
  <si>
    <t xml:space="preserve">316200180211000</t>
  </si>
  <si>
    <t xml:space="preserve">Шестерня коленвала</t>
  </si>
  <si>
    <t xml:space="preserve">4171005185</t>
  </si>
  <si>
    <t xml:space="preserve">ЗИЛ</t>
  </si>
  <si>
    <t xml:space="preserve">1301005030</t>
  </si>
  <si>
    <t xml:space="preserve">Кулиса КПП</t>
  </si>
  <si>
    <t xml:space="preserve">396295170301000</t>
  </si>
  <si>
    <t xml:space="preserve">Привод вентилятора</t>
  </si>
  <si>
    <t xml:space="preserve">4211308100</t>
  </si>
  <si>
    <t xml:space="preserve">95х130х12х17.5</t>
  </si>
  <si>
    <t xml:space="preserve">Сальник ступицы</t>
  </si>
  <si>
    <t xml:space="preserve">55x80x10</t>
  </si>
  <si>
    <t xml:space="preserve">45x65x10</t>
  </si>
  <si>
    <t xml:space="preserve">Сальник шарнира поворотного кулака</t>
  </si>
  <si>
    <t xml:space="preserve">42x75x10</t>
  </si>
  <si>
    <t xml:space="preserve">Сальник редуктора заднего моста</t>
  </si>
  <si>
    <t xml:space="preserve">Газель</t>
  </si>
  <si>
    <t xml:space="preserve">50x80x10</t>
  </si>
  <si>
    <t xml:space="preserve">55x70x8</t>
  </si>
  <si>
    <t xml:space="preserve">Сальник коленвала ЗМЗ 406</t>
  </si>
  <si>
    <t xml:space="preserve">60x85x10</t>
  </si>
  <si>
    <t xml:space="preserve">20x42x10</t>
  </si>
  <si>
    <t xml:space="preserve">Сальник привода ТНВД</t>
  </si>
  <si>
    <t xml:space="preserve">КамАЗ</t>
  </si>
  <si>
    <t xml:space="preserve">65x90x10</t>
  </si>
  <si>
    <t xml:space="preserve">Сальник задней ступицы</t>
  </si>
  <si>
    <t xml:space="preserve">75x94x10</t>
  </si>
  <si>
    <t xml:space="preserve">Сальник ТНВД</t>
  </si>
  <si>
    <t xml:space="preserve">МАЗ</t>
  </si>
  <si>
    <t xml:space="preserve">23x35x7</t>
  </si>
  <si>
    <t xml:space="preserve">Сальник вала червяка рулевого управления</t>
  </si>
  <si>
    <t xml:space="preserve">Комплект прокладок КПП 452</t>
  </si>
  <si>
    <t xml:space="preserve">Ремкомплект КПП нового образца</t>
  </si>
  <si>
    <t xml:space="preserve">Комплект прокладок на РК </t>
  </si>
  <si>
    <t xml:space="preserve">Комплект прокладок моста</t>
  </si>
  <si>
    <t xml:space="preserve">Ремкомплект масляного фильтра </t>
  </si>
  <si>
    <t xml:space="preserve">ГАЗ 53</t>
  </si>
  <si>
    <t xml:space="preserve">Ремкомплект бензонасоса 900</t>
  </si>
  <si>
    <t xml:space="preserve">Катафот задний </t>
  </si>
  <si>
    <t xml:space="preserve">296515</t>
  </si>
  <si>
    <t xml:space="preserve">Корпус РК</t>
  </si>
  <si>
    <t xml:space="preserve">4521802014</t>
  </si>
  <si>
    <t xml:space="preserve">Дополнительный насос отопителя </t>
  </si>
  <si>
    <t xml:space="preserve">3163008110920</t>
  </si>
  <si>
    <t xml:space="preserve">Натяжной ролик с кранштейном</t>
  </si>
  <si>
    <t xml:space="preserve">Натяжной ролик</t>
  </si>
  <si>
    <t xml:space="preserve">Крыльчатка помпы</t>
  </si>
  <si>
    <t xml:space="preserve">Тормозной цилиндр передний левый</t>
  </si>
  <si>
    <t xml:space="preserve">ГАЗ 66,3308</t>
  </si>
  <si>
    <t xml:space="preserve">66163501040</t>
  </si>
  <si>
    <t xml:space="preserve">Муфта синхронизатора 3-4 передачи</t>
  </si>
  <si>
    <t xml:space="preserve">Шестерня 3 передачи вторичного вала</t>
  </si>
  <si>
    <t xml:space="preserve">521701113</t>
  </si>
  <si>
    <t xml:space="preserve">Приемная трубка топливопровода</t>
  </si>
  <si>
    <t xml:space="preserve">469001104010</t>
  </si>
  <si>
    <t xml:space="preserve">Переключатель стеклоочистителя </t>
  </si>
  <si>
    <t xml:space="preserve">6713709</t>
  </si>
  <si>
    <t xml:space="preserve">Помпа</t>
  </si>
  <si>
    <t xml:space="preserve">211307010</t>
  </si>
  <si>
    <t xml:space="preserve">Шестерня второй передачи </t>
  </si>
  <si>
    <t xml:space="preserve">521701110</t>
  </si>
  <si>
    <t xml:space="preserve">Полуось задняя</t>
  </si>
  <si>
    <t xml:space="preserve">Полуось передняя</t>
  </si>
  <si>
    <t xml:space="preserve">53121701306</t>
  </si>
  <si>
    <t xml:space="preserve">ГУР</t>
  </si>
  <si>
    <t xml:space="preserve">453471125</t>
  </si>
  <si>
    <t xml:space="preserve">Клапан вакуумный обратный</t>
  </si>
  <si>
    <t xml:space="preserve">УАЗ/ ГАЗ</t>
  </si>
  <si>
    <t xml:space="preserve">31513510178</t>
  </si>
  <si>
    <t xml:space="preserve">Вилка КПП</t>
  </si>
  <si>
    <t xml:space="preserve">33021702024</t>
  </si>
  <si>
    <t xml:space="preserve">Корпус фиксатора двери боковой</t>
  </si>
  <si>
    <t xml:space="preserve">2705642533401</t>
  </si>
  <si>
    <t xml:space="preserve">Фиксатор двери боковой</t>
  </si>
  <si>
    <t xml:space="preserve">2705642531001</t>
  </si>
  <si>
    <t xml:space="preserve">Датчик электронного спидометра</t>
  </si>
  <si>
    <t xml:space="preserve">УАЗ/ ВАЗ</t>
  </si>
  <si>
    <t xml:space="preserve">4933843</t>
  </si>
  <si>
    <t xml:space="preserve">Регулятор напряжения</t>
  </si>
  <si>
    <t xml:space="preserve">УАЗ/ ГАЗ/ ВАЗ</t>
  </si>
  <si>
    <t xml:space="preserve">7783702</t>
  </si>
  <si>
    <t xml:space="preserve">653772</t>
  </si>
  <si>
    <t xml:space="preserve">Шкив помпы</t>
  </si>
  <si>
    <t xml:space="preserve">31511701041</t>
  </si>
  <si>
    <t xml:space="preserve">Фланец карданного вала РК</t>
  </si>
  <si>
    <t xml:space="preserve">69180204301</t>
  </si>
  <si>
    <t xml:space="preserve">К126Г</t>
  </si>
  <si>
    <t xml:space="preserve">Карбюратор</t>
  </si>
  <si>
    <t xml:space="preserve">Комплект прокладок впускного коллектора</t>
  </si>
  <si>
    <t xml:space="preserve">531008000</t>
  </si>
  <si>
    <t xml:space="preserve">Диск АБС</t>
  </si>
  <si>
    <t xml:space="preserve">31633538030</t>
  </si>
  <si>
    <t xml:space="preserve">Ремкомплект крепления тормозных колодок</t>
  </si>
  <si>
    <t xml:space="preserve">Карбюратор Газель</t>
  </si>
  <si>
    <t xml:space="preserve">3302</t>
  </si>
  <si>
    <t xml:space="preserve">Вакуумный усилитель тормозов</t>
  </si>
  <si>
    <t xml:space="preserve">3151351001003</t>
  </si>
  <si>
    <t xml:space="preserve">Фланец ступицы заднего моста</t>
  </si>
  <si>
    <t xml:space="preserve">31512407191</t>
  </si>
  <si>
    <t xml:space="preserve">Шар ШРУСа</t>
  </si>
  <si>
    <t xml:space="preserve">Шестерня заднего хода</t>
  </si>
  <si>
    <t xml:space="preserve">4691701080</t>
  </si>
  <si>
    <t xml:space="preserve">Ручка задних дверей (комплект)</t>
  </si>
  <si>
    <t xml:space="preserve">4516323130</t>
  </si>
  <si>
    <t xml:space="preserve">Крышка подшипника вторичного вала</t>
  </si>
  <si>
    <t xml:space="preserve">53121701200</t>
  </si>
  <si>
    <t xml:space="preserve">Крышка подшипника РК</t>
  </si>
  <si>
    <t xml:space="preserve">37411802105</t>
  </si>
  <si>
    <t xml:space="preserve">Вал привода заднего моста РК</t>
  </si>
  <si>
    <t xml:space="preserve">31621802054</t>
  </si>
  <si>
    <t xml:space="preserve">Шестерня включения понижающей передачи</t>
  </si>
  <si>
    <t xml:space="preserve">316200180204000</t>
  </si>
  <si>
    <t xml:space="preserve">4691701126</t>
  </si>
  <si>
    <t xml:space="preserve">Шестерня третьей передачи</t>
  </si>
  <si>
    <t xml:space="preserve">3102901701128</t>
  </si>
  <si>
    <t xml:space="preserve">Прокладка ГБЦ ЗМЗ 417</t>
  </si>
  <si>
    <t xml:space="preserve">4171003020</t>
  </si>
  <si>
    <t xml:space="preserve">Комплект прокладок на ЗМЗ 417</t>
  </si>
  <si>
    <t xml:space="preserve">4171000150</t>
  </si>
  <si>
    <t xml:space="preserve">Прокладка ГБЦ ГАЗ 53</t>
  </si>
  <si>
    <t xml:space="preserve">661003020</t>
  </si>
  <si>
    <t xml:space="preserve">Прокладка впускного коллектора старого образца</t>
  </si>
  <si>
    <t xml:space="preserve">211008080</t>
  </si>
  <si>
    <t xml:space="preserve">Прокладка впускного коллектора нового образца</t>
  </si>
  <si>
    <t xml:space="preserve">241008080</t>
  </si>
  <si>
    <t xml:space="preserve">Комплект прокладок УМЗ 4178</t>
  </si>
  <si>
    <t xml:space="preserve">Прокладка приемной трубы</t>
  </si>
  <si>
    <t xml:space="preserve">315100120308800</t>
  </si>
  <si>
    <t xml:space="preserve">Прокладка клапанной крышки</t>
  </si>
  <si>
    <t xml:space="preserve">5245001007245</t>
  </si>
  <si>
    <t xml:space="preserve">211007245</t>
  </si>
  <si>
    <t xml:space="preserve">Комплект прокладок масляного поддона ЗМЗ 417</t>
  </si>
  <si>
    <t xml:space="preserve">211009070</t>
  </si>
  <si>
    <t xml:space="preserve">Высоковольтные провода (комплект)</t>
  </si>
  <si>
    <t xml:space="preserve">Ручейковый ремень</t>
  </si>
  <si>
    <t xml:space="preserve">Высоковольтный провод (короткий)</t>
  </si>
  <si>
    <t xml:space="preserve">Высоковольтный провод (длинный)</t>
  </si>
  <si>
    <t xml:space="preserve">Ремень полеклиновой</t>
  </si>
  <si>
    <t xml:space="preserve">Тормозной щит передний</t>
  </si>
  <si>
    <t xml:space="preserve">4523501015</t>
  </si>
  <si>
    <t xml:space="preserve">Пыльник крышки КПП </t>
  </si>
  <si>
    <t xml:space="preserve">1301702155</t>
  </si>
  <si>
    <t xml:space="preserve">Подвесной подшипник Жигули</t>
  </si>
  <si>
    <t xml:space="preserve">Фары козел</t>
  </si>
  <si>
    <t xml:space="preserve">Стремянка рессоры </t>
  </si>
  <si>
    <t xml:space="preserve">Стремянка рессоры</t>
  </si>
  <si>
    <t xml:space="preserve">Подшипник не товарный вид</t>
  </si>
  <si>
    <t xml:space="preserve">21А1005125</t>
  </si>
  <si>
    <t xml:space="preserve">Венец маховика</t>
  </si>
  <si>
    <t xml:space="preserve">Дифференциал с главной парой</t>
  </si>
  <si>
    <t xml:space="preserve">Корпус дифференциала с сателлитами</t>
  </si>
  <si>
    <t xml:space="preserve">Маховик</t>
  </si>
  <si>
    <t xml:space="preserve">40621005120</t>
  </si>
  <si>
    <t xml:space="preserve">41730100511520</t>
  </si>
  <si>
    <t xml:space="preserve">Передний кардан</t>
  </si>
  <si>
    <t xml:space="preserve">Лист рессоры</t>
  </si>
  <si>
    <t xml:space="preserve">Ремкомплект гидровакуумного усилителя</t>
  </si>
  <si>
    <t xml:space="preserve">Ремкомплект крыльчатки водяного насоса</t>
  </si>
  <si>
    <t xml:space="preserve">Манжета цилиндра сцепления</t>
  </si>
  <si>
    <t xml:space="preserve">4691602516</t>
  </si>
  <si>
    <t xml:space="preserve">Комплект уплотнительных колец </t>
  </si>
  <si>
    <t xml:space="preserve">40x80x18</t>
  </si>
  <si>
    <t xml:space="preserve">Подшипник в раздатку 6208</t>
  </si>
  <si>
    <t xml:space="preserve">Сальники клапанов</t>
  </si>
  <si>
    <t xml:space="preserve">Шкала показания датчика (разные)</t>
  </si>
  <si>
    <t xml:space="preserve">Механизм управления РК</t>
  </si>
  <si>
    <t xml:space="preserve">4691803010</t>
  </si>
  <si>
    <t xml:space="preserve">Сальник кулака </t>
  </si>
  <si>
    <t xml:space="preserve">Трапеция привода дворников</t>
  </si>
  <si>
    <t xml:space="preserve">Тормозная трубка под кузовом длинная</t>
  </si>
  <si>
    <t xml:space="preserve">Патрубоки (разные)</t>
  </si>
  <si>
    <t xml:space="preserve">Вентилятор охлаждения </t>
  </si>
  <si>
    <t xml:space="preserve">241308010</t>
  </si>
  <si>
    <t xml:space="preserve">Муфта синхронизатора</t>
  </si>
  <si>
    <t xml:space="preserve">52170111920</t>
  </si>
  <si>
    <t xml:space="preserve">Вкладыш шкворня</t>
  </si>
  <si>
    <t xml:space="preserve">316000230402312</t>
  </si>
  <si>
    <t xml:space="preserve">Втулка шатуна</t>
  </si>
  <si>
    <t xml:space="preserve">Электромагнитная муфта вентилятора</t>
  </si>
  <si>
    <t xml:space="preserve">402600131701020</t>
  </si>
  <si>
    <t xml:space="preserve">Комплект эксцентриковый регулировочный задних тормозных колодок</t>
  </si>
  <si>
    <t xml:space="preserve">40x17x12</t>
  </si>
  <si>
    <t xml:space="preserve">Подшипник 6203 первичного вала</t>
  </si>
  <si>
    <t xml:space="preserve">47x20x14</t>
  </si>
  <si>
    <t xml:space="preserve">Подшипник 6204</t>
  </si>
  <si>
    <t xml:space="preserve">Подшипник 7505</t>
  </si>
  <si>
    <t xml:space="preserve">Подшипник 7606</t>
  </si>
  <si>
    <t xml:space="preserve">Вилка ШРУСа </t>
  </si>
  <si>
    <t xml:space="preserve">Вал вторичный</t>
  </si>
  <si>
    <t xml:space="preserve">452001701105</t>
  </si>
  <si>
    <t xml:space="preserve">52x20x15</t>
  </si>
  <si>
    <t xml:space="preserve">Подшипник 102304 редуктора заднего моста</t>
  </si>
  <si>
    <t xml:space="preserve">Клапан ГБЦ</t>
  </si>
  <si>
    <t xml:space="preserve">4021007010</t>
  </si>
  <si>
    <t xml:space="preserve">Трубка соединительная для системы охлаждения</t>
  </si>
  <si>
    <t xml:space="preserve">Гайка регулирования лапки сцепления</t>
  </si>
  <si>
    <t xml:space="preserve">531601178</t>
  </si>
  <si>
    <t xml:space="preserve">СТ2303708020</t>
  </si>
  <si>
    <t xml:space="preserve">Вилка стартера</t>
  </si>
  <si>
    <t xml:space="preserve">Колпачок защитный на крышку кпп</t>
  </si>
  <si>
    <t xml:space="preserve">5311702126</t>
  </si>
  <si>
    <t xml:space="preserve">Ось сателлитов</t>
  </si>
  <si>
    <t xml:space="preserve">45150240306002</t>
  </si>
  <si>
    <t xml:space="preserve">Вилка КПП 1й-2й передачи с/о</t>
  </si>
  <si>
    <t xml:space="preserve">45200170202402</t>
  </si>
  <si>
    <t xml:space="preserve">Вторичный вал</t>
  </si>
  <si>
    <t xml:space="preserve">4691701105</t>
  </si>
  <si>
    <t xml:space="preserve">Крышка трамблёра</t>
  </si>
  <si>
    <t xml:space="preserve">Шестерня 2й передачи старого образца</t>
  </si>
  <si>
    <t xml:space="preserve">45150170112611</t>
  </si>
  <si>
    <t xml:space="preserve">72x30x19</t>
  </si>
  <si>
    <t xml:space="preserve">Подшипник 6306 РК</t>
  </si>
  <si>
    <t xml:space="preserve">80x40x18</t>
  </si>
  <si>
    <t xml:space="preserve">Подшипник 6208 для КПП или РК</t>
  </si>
  <si>
    <t xml:space="preserve">Шпилька/болт ГБЦ</t>
  </si>
  <si>
    <t xml:space="preserve">M10x1x35</t>
  </si>
  <si>
    <t xml:space="preserve">Болт картера моста</t>
  </si>
  <si>
    <t xml:space="preserve">Штуцер регулировочный рулевой тяги</t>
  </si>
  <si>
    <t xml:space="preserve">316050341405800</t>
  </si>
  <si>
    <t xml:space="preserve">Кранштейн амортизатора заднего моста</t>
  </si>
  <si>
    <t xml:space="preserve">315120291551000</t>
  </si>
  <si>
    <t xml:space="preserve">Пробка сливная</t>
  </si>
  <si>
    <t xml:space="preserve">Расходники</t>
  </si>
  <si>
    <t xml:space="preserve">Рычаг кулисы переключения передач</t>
  </si>
  <si>
    <t xml:space="preserve">Насос топливный погружной</t>
  </si>
  <si>
    <t xml:space="preserve">3741113902001</t>
  </si>
  <si>
    <t xml:space="preserve">M12x1.25x10</t>
  </si>
  <si>
    <t xml:space="preserve">Гайка стойки стабилизатора</t>
  </si>
  <si>
    <t xml:space="preserve">Болт кардана с гайкой, шайбой</t>
  </si>
  <si>
    <t xml:space="preserve">Гайка фланца раздаточной коробки</t>
  </si>
  <si>
    <t xml:space="preserve">664502218</t>
  </si>
  <si>
    <t xml:space="preserve">Болт главной пары </t>
  </si>
  <si>
    <t xml:space="preserve">Обод фары </t>
  </si>
  <si>
    <t xml:space="preserve">Г25000370120001</t>
  </si>
  <si>
    <t xml:space="preserve">Якорь генератора</t>
  </si>
  <si>
    <t xml:space="preserve">Поводок с дворником</t>
  </si>
  <si>
    <t xml:space="preserve">РК в сборе</t>
  </si>
  <si>
    <t xml:space="preserve">Сошка рулевая</t>
  </si>
  <si>
    <t xml:space="preserve">33023401090</t>
  </si>
  <si>
    <t xml:space="preserve">Переходник карбюратора</t>
  </si>
  <si>
    <t xml:space="preserve">4171109130</t>
  </si>
  <si>
    <t xml:space="preserve">Крышка передняя подшипника промвала</t>
  </si>
  <si>
    <t xml:space="preserve">4691701068</t>
  </si>
  <si>
    <t xml:space="preserve">Кронштейн нижний переднего амортизатора</t>
  </si>
  <si>
    <t xml:space="preserve">31602905550</t>
  </si>
  <si>
    <t xml:space="preserve">Пружина стяжная тормозных колодок</t>
  </si>
  <si>
    <t xml:space="preserve">Кольцо упорное ступицы колеса</t>
  </si>
  <si>
    <t xml:space="preserve">6900310302400</t>
  </si>
  <si>
    <t xml:space="preserve">Шайба замочная ступицы (ромашка)</t>
  </si>
  <si>
    <t xml:space="preserve">692401055</t>
  </si>
  <si>
    <t xml:space="preserve">Шайба стопорная подшипника ступичного</t>
  </si>
  <si>
    <t xml:space="preserve">61000121168200</t>
  </si>
  <si>
    <t xml:space="preserve">Крышка топливного бака</t>
  </si>
  <si>
    <t xml:space="preserve">Гитара </t>
  </si>
  <si>
    <t xml:space="preserve">ПФ13011</t>
  </si>
  <si>
    <t xml:space="preserve">Указатель поворота ГАЗ 53</t>
  </si>
  <si>
    <t xml:space="preserve">Вал муфты механизма переключения передач</t>
  </si>
  <si>
    <t xml:space="preserve">3741170215095</t>
  </si>
  <si>
    <t xml:space="preserve">Крышка переднего подшипника промежуточного вала</t>
  </si>
  <si>
    <t xml:space="preserve">4691701070</t>
  </si>
  <si>
    <t xml:space="preserve">Морда УАЗ 469</t>
  </si>
  <si>
    <t xml:space="preserve">M10x25</t>
  </si>
  <si>
    <t xml:space="preserve">Болт крепления полуоси</t>
  </si>
  <si>
    <t xml:space="preserve">Болт генератора</t>
  </si>
  <si>
    <t xml:space="preserve">Шпилька выпускного коллектора</t>
  </si>
  <si>
    <t xml:space="preserve">Блок управления отопителем </t>
  </si>
  <si>
    <t xml:space="preserve">Кранштейн промежуточных рычагов КПП</t>
  </si>
  <si>
    <t xml:space="preserve">45100170310331</t>
  </si>
  <si>
    <t xml:space="preserve">Рычаг кулисы выбора передач </t>
  </si>
  <si>
    <t xml:space="preserve">45100170302830</t>
  </si>
  <si>
    <t xml:space="preserve">Бегунок трамблёра</t>
  </si>
  <si>
    <t xml:space="preserve">Выключатель массы </t>
  </si>
  <si>
    <t xml:space="preserve">Розетка фаркопа</t>
  </si>
  <si>
    <t xml:space="preserve">Патрубок алюминиевый тройник</t>
  </si>
  <si>
    <t xml:space="preserve">42151306038</t>
  </si>
  <si>
    <t xml:space="preserve">Болт эксцентриковый для регулировки передних колодок</t>
  </si>
  <si>
    <t xml:space="preserve">3151350106810</t>
  </si>
  <si>
    <t xml:space="preserve">Рычажок выбора передач (клюшка)</t>
  </si>
  <si>
    <t xml:space="preserve">451501702160</t>
  </si>
  <si>
    <t xml:space="preserve">Ремкомплект крышки кпп</t>
  </si>
  <si>
    <t xml:space="preserve">Реле прерыватель поворотника</t>
  </si>
  <si>
    <t xml:space="preserve">5713777</t>
  </si>
  <si>
    <t xml:space="preserve">0469-00-1602558-00</t>
  </si>
  <si>
    <t xml:space="preserve">Колпачок защитный ГЦС</t>
  </si>
  <si>
    <t xml:space="preserve">24-10-1602528</t>
  </si>
  <si>
    <t xml:space="preserve">ГАЗ </t>
  </si>
  <si>
    <t xml:space="preserve">4052-3707230</t>
  </si>
  <si>
    <t xml:space="preserve">Наконечники свечные синие </t>
  </si>
  <si>
    <t xml:space="preserve">42.3708000-01</t>
  </si>
  <si>
    <t xml:space="preserve">Стартер</t>
  </si>
  <si>
    <t xml:space="preserve">13.3702-01</t>
  </si>
  <si>
    <t xml:space="preserve">Реле регулятор напряжения</t>
  </si>
  <si>
    <t xml:space="preserve">Шпилька колеса ГАЗ 53</t>
  </si>
  <si>
    <t xml:space="preserve">Футболка колёсная ГАЗ 53</t>
  </si>
  <si>
    <t xml:space="preserve">Гайка колёсная ГАЗ 53</t>
  </si>
  <si>
    <t xml:space="preserve">469-3508050-00</t>
  </si>
  <si>
    <t xml:space="preserve">Рычаг привода стояночного тормоза</t>
  </si>
  <si>
    <t xml:space="preserve">Клипса-пистон для обшивки</t>
  </si>
  <si>
    <t xml:space="preserve">Обмотка генератора </t>
  </si>
  <si>
    <t xml:space="preserve">НАСТРОЙКИ ЦЕНООБРАЗОВАНИЯ</t>
  </si>
  <si>
    <t xml:space="preserve">Курс рубля, ₸ за 1 ₽</t>
  </si>
  <si>
    <t xml:space="preserve">Надбавка к российским ценам (доставка, растаможка), %</t>
  </si>
  <si>
    <t xml:space="preserve">Общая наценка на среднюю цену рынка, %</t>
  </si>
  <si>
    <t xml:space="preserve">Округлять цену до, ₸</t>
  </si>
  <si>
    <t xml:space="preserve">Источник</t>
  </si>
  <si>
    <t xml:space="preserve">autogur73.ru</t>
  </si>
  <si>
    <t xml:space="preserve">chipdip.kz</t>
  </si>
  <si>
    <t xml:space="preserve">uaz.store</t>
  </si>
  <si>
    <t xml:space="preserve">metalpart.ru</t>
  </si>
  <si>
    <t xml:space="preserve">detaliuaz.ru</t>
  </si>
  <si>
    <t xml:space="preserve">vta-gaz.ru</t>
  </si>
  <si>
    <t xml:space="preserve">spectuninguaz.ru</t>
  </si>
  <si>
    <t xml:space="preserve">4uaz.ru</t>
  </si>
  <si>
    <t xml:space="preserve">Kaspi</t>
  </si>
  <si>
    <t xml:space="preserve">Ozon</t>
  </si>
  <si>
    <t xml:space="preserve">Валюта (RUB / KZT)</t>
  </si>
  <si>
    <t xml:space="preserve">RUB</t>
  </si>
  <si>
    <t xml:space="preserve">KZT</t>
  </si>
  <si>
    <t xml:space="preserve">Курс пересчёта в ₸ (авто)</t>
  </si>
  <si>
    <t xml:space="preserve">Учитывать в средней (1 — да, 0 — нет)</t>
  </si>
  <si>
    <t xml:space="preserve">Наценка по категориям (пусто = общая)</t>
  </si>
  <si>
    <t xml:space="preserve">Наценка, %</t>
  </si>
  <si>
    <t xml:space="preserve">Жёлтые ячейки — для изменения. Синий шрифт — вводимые значения, чёрный — формулы.</t>
  </si>
  <si>
    <t xml:space="preserve">СВОДКА ПО СКЛАДУ И ПРОДАЖАМ</t>
  </si>
  <si>
    <t xml:space="preserve">Показатель</t>
  </si>
  <si>
    <t xml:space="preserve">Значение</t>
  </si>
  <si>
    <t xml:space="preserve">Всего позиций</t>
  </si>
  <si>
    <t xml:space="preserve">Всего единиц на остатке</t>
  </si>
  <si>
    <t xml:space="preserve">Всего товаров на сумму</t>
  </si>
  <si>
    <t xml:space="preserve">Это в Долларах</t>
  </si>
  <si>
    <t xml:space="preserve">КРАТКАЯ ИНСТРУКЦИЯ</t>
  </si>
  <si>
    <t xml:space="preserve">Вносите каждую запчасть отдельной строкой на вкладке «Запчасти».</t>
  </si>
  <si>
    <t xml:space="preserve">2</t>
  </si>
  <si>
    <t xml:space="preserve">Заполняйте артикул, название, производителя, автомобиль, цены и количество.</t>
  </si>
  <si>
    <t xml:space="preserve">3</t>
  </si>
  <si>
    <t xml:space="preserve">В колонке «Продано» указывайте, сколько единиц уже продано.</t>
  </si>
  <si>
    <t xml:space="preserve">4</t>
  </si>
  <si>
    <t xml:space="preserve">«Остаток», «Выручка», «Себестоимость проданного» и «Прибыль» считаются автоматически.</t>
  </si>
  <si>
    <t xml:space="preserve">5</t>
  </si>
  <si>
    <t xml:space="preserve">Вкладка «Сводка» показывает общие показатели по складу.</t>
  </si>
  <si>
    <t xml:space="preserve">6</t>
  </si>
  <si>
    <t xml:space="preserve">Файл можно загрузить в Google Таблицы и работать с ним с телефона и ноутбука.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</si>
</sst>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.mm\.yyyy"/>
    <numFmt numFmtId="166" formatCode="#,##0&quot; ₸&quot;"/>
    <numFmt numFmtId="167" formatCode="General"/>
    <numFmt numFmtId="168" formatCode="#,##0"/>
    <numFmt numFmtId="169" formatCode="0%"/>
    <numFmt numFmtId="170" formatCode="\+0%;\-0%;0%"/>
    <numFmt numFmtId="171" formatCode="0.00"/>
    <numFmt numFmtId="172" formatCode="0"/>
    <numFmt numFmtId="173" formatCode="#,##0.00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0"/>
      <name val="Arial"/>
      <family val="2"/>
    </font>
    <font>
      <b val="true"/>
      <sz val="13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1"/>
      <color rgb="FF808080"/>
      <name val="Calibri"/>
      <family val="0"/>
      <charset val="1"/>
    </font>
    <font>
      <b val="true"/>
      <sz val="16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1F3864"/>
        <bgColor rgb="FF1F4E78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.71"/>
    <col collapsed="false" customWidth="true" hidden="false" outlineLevel="0" max="3" min="3" style="0" width="0.43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0.43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11" min="9" style="0" width="12"/>
    <col collapsed="false" customWidth="true" hidden="false" outlineLevel="0" max="13" min="12" style="0" width="15"/>
    <col collapsed="false" customWidth="true" hidden="false" outlineLevel="0" max="14" min="14" style="0" width="22"/>
    <col collapsed="false" customWidth="true" hidden="false" outlineLevel="0" max="15" min="15" style="0" width="15"/>
    <col collapsed="false" customWidth="true" hidden="false" outlineLevel="0" max="16" min="16" style="0" width="15.29"/>
    <col collapsed="false" customWidth="true" hidden="false" outlineLevel="0" max="25" min="17" style="0" width="18"/>
    <col collapsed="false" customWidth="true" hidden="false" outlineLevel="0" max="27" min="26" style="0" width="12"/>
    <col collapsed="false" customWidth="true" hidden="false" outlineLevel="0" max="28" min="28" style="0" width="9"/>
    <col collapsed="false" customWidth="true" hidden="false" outlineLevel="0" max="29" min="29" style="0" width="15"/>
    <col collapsed="false" customWidth="true" hidden="false" outlineLevel="0" max="31" min="30" style="0" width="11"/>
    <col collapsed="false" customWidth="true" hidden="false" outlineLevel="0" max="32" min="32" style="0" width="14"/>
    <col collapsed="false" customWidth="true" hidden="false" outlineLevel="0" max="33" min="33" style="0" width="13"/>
    <col collapsed="false" customWidth="true" hidden="false" outlineLevel="0" max="34" min="34" style="0" width="40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customFormat="false" ht="15" hidden="false" customHeight="false" outlineLevel="0" collapsed="false">
      <c r="A2" s="3" t="n">
        <v>4693501070</v>
      </c>
      <c r="B2" s="3" t="s">
        <v>34</v>
      </c>
      <c r="C2" s="3" t="s">
        <v>35</v>
      </c>
      <c r="D2" s="3" t="s">
        <v>36</v>
      </c>
      <c r="E2" s="3" t="s">
        <v>37</v>
      </c>
      <c r="F2" s="4"/>
      <c r="G2" s="5"/>
      <c r="H2" s="5" t="n">
        <v>20000</v>
      </c>
      <c r="I2" s="3" t="n">
        <v>13</v>
      </c>
      <c r="K2" s="6" t="n">
        <f aca="false">I2-J2</f>
        <v>13</v>
      </c>
      <c r="L2" s="5" t="n">
        <f aca="false">K2*H2</f>
        <v>260000</v>
      </c>
      <c r="M2" s="5" t="n">
        <f aca="false">IF(A2="","",H2*J2)</f>
        <v>0</v>
      </c>
      <c r="N2" s="5" t="n">
        <f aca="false">IF(A2="","",G2*J2)</f>
        <v>0</v>
      </c>
      <c r="O2" s="5" t="n">
        <f aca="false">IF(A2="","",M2-N2)</f>
        <v>0</v>
      </c>
      <c r="Q2" s="7" t="s">
        <v>38</v>
      </c>
      <c r="R2" s="8"/>
      <c r="S2" s="8"/>
      <c r="T2" s="8"/>
      <c r="U2" s="8"/>
      <c r="V2" s="8"/>
      <c r="W2" s="8"/>
      <c r="X2" s="8"/>
      <c r="Y2" s="8"/>
      <c r="Z2" s="8"/>
      <c r="AA2" s="8"/>
      <c r="AB2" s="7" t="n">
        <f aca="false">SUMPRODUCT(--(R2:AA2&gt;0),'Настройки цен'!$B$12:$K$12)</f>
        <v>0</v>
      </c>
      <c r="AC2" s="9" t="str">
        <f aca="false">IF(AB2=0,"",SUMPRODUCT(R2:AA2,'Настройки цен'!$B$11:$K$11,'Настройки цен'!$B$12:$K$12)/AB2)</f>
        <v/>
      </c>
      <c r="AD2" s="10"/>
      <c r="AE2" s="11" t="n">
        <f aca="false">IF(AD2&lt;&gt;"",AD2,IFERROR(IF(INDEX('Настройки цен'!$B$17:$B$24,MATCH(E2,'Настройки цен'!$A$17:$A$24,0))="",'Настройки цен'!$B$5,INDEX('Настройки цен'!$B$17:$B$24,MATCH(E2,'Настройки цен'!$A$17:$A$24,0))),'Настройки цен'!$B$5))</f>
        <v>0</v>
      </c>
      <c r="AF2" s="9" t="str">
        <f aca="false">IF(AC2="","",ROUND(AC2*(1+AE2)/'Настройки цен'!$B$6,0)*'Настройки цен'!$B$6)</f>
        <v/>
      </c>
      <c r="AG2" s="12" t="str">
        <f aca="false">IF(OR(AC2="",H2=""),"",H2/AC2-1)</f>
        <v/>
      </c>
      <c r="AH2" s="7" t="s">
        <v>39</v>
      </c>
    </row>
    <row r="3" customFormat="false" ht="15" hidden="false" customHeight="false" outlineLevel="0" collapsed="false">
      <c r="A3" s="3" t="n">
        <v>37413502013</v>
      </c>
      <c r="B3" s="3" t="s">
        <v>40</v>
      </c>
      <c r="C3" s="3" t="s">
        <v>41</v>
      </c>
      <c r="D3" s="3" t="s">
        <v>36</v>
      </c>
      <c r="E3" s="3" t="s">
        <v>37</v>
      </c>
      <c r="F3" s="4"/>
      <c r="G3" s="5"/>
      <c r="H3" s="5" t="n">
        <v>15000</v>
      </c>
      <c r="I3" s="3" t="n">
        <v>4</v>
      </c>
      <c r="K3" s="6" t="n">
        <f aca="false">I3-J3</f>
        <v>4</v>
      </c>
      <c r="L3" s="5" t="n">
        <f aca="false">K3*H3</f>
        <v>60000</v>
      </c>
      <c r="M3" s="5" t="n">
        <f aca="false">IF(A3="","",H3*J3)</f>
        <v>0</v>
      </c>
      <c r="N3" s="5" t="n">
        <f aca="false">IF(A3="","",G3*J3)</f>
        <v>0</v>
      </c>
      <c r="O3" s="5" t="n">
        <f aca="false">IF(A3="","",M3-N3)</f>
        <v>0</v>
      </c>
      <c r="Q3" s="7" t="s">
        <v>42</v>
      </c>
      <c r="R3" s="8"/>
      <c r="S3" s="8"/>
      <c r="T3" s="8"/>
      <c r="U3" s="8"/>
      <c r="V3" s="8"/>
      <c r="W3" s="8"/>
      <c r="X3" s="8"/>
      <c r="Y3" s="8"/>
      <c r="Z3" s="8"/>
      <c r="AA3" s="8"/>
      <c r="AB3" s="7" t="n">
        <f aca="false">SUMPRODUCT(--(R3:AA3&gt;0),'Настройки цен'!$B$12:$K$12)</f>
        <v>0</v>
      </c>
      <c r="AC3" s="9" t="str">
        <f aca="false">IF(AB3=0,"",SUMPRODUCT(R3:AA3,'Настройки цен'!$B$11:$K$11,'Настройки цен'!$B$12:$K$12)/AB3)</f>
        <v/>
      </c>
      <c r="AD3" s="10"/>
      <c r="AE3" s="11" t="n">
        <f aca="false">IF(AD3&lt;&gt;"",AD3,IFERROR(IF(INDEX('Настройки цен'!$B$17:$B$24,MATCH(E3,'Настройки цен'!$A$17:$A$24,0))="",'Настройки цен'!$B$5,INDEX('Настройки цен'!$B$17:$B$24,MATCH(E3,'Настройки цен'!$A$17:$A$24,0))),'Настройки цен'!$B$5))</f>
        <v>0</v>
      </c>
      <c r="AF3" s="9" t="str">
        <f aca="false">IF(AC3="","",ROUND(AC3*(1+AE3)/'Настройки цен'!$B$6,0)*'Настройки цен'!$B$6)</f>
        <v/>
      </c>
      <c r="AG3" s="12" t="str">
        <f aca="false">IF(OR(AC3="",H3=""),"",H3/AC3-1)</f>
        <v/>
      </c>
      <c r="AH3" s="7"/>
    </row>
    <row r="4" customFormat="false" ht="15" hidden="false" customHeight="false" outlineLevel="0" collapsed="false">
      <c r="A4" s="3" t="n">
        <v>316000350108400</v>
      </c>
      <c r="B4" s="3" t="s">
        <v>43</v>
      </c>
      <c r="C4" s="3" t="s">
        <v>41</v>
      </c>
      <c r="D4" s="3" t="s">
        <v>36</v>
      </c>
      <c r="E4" s="3" t="s">
        <v>37</v>
      </c>
      <c r="F4" s="4"/>
      <c r="G4" s="5"/>
      <c r="H4" s="5" t="n">
        <v>4000</v>
      </c>
      <c r="I4" s="3" t="n">
        <v>18</v>
      </c>
      <c r="K4" s="6" t="n">
        <f aca="false">I4-J4</f>
        <v>18</v>
      </c>
      <c r="L4" s="5" t="n">
        <f aca="false">K4*H4</f>
        <v>72000</v>
      </c>
      <c r="M4" s="5" t="n">
        <f aca="false">IF(A4="","",H4*J4)</f>
        <v>0</v>
      </c>
      <c r="N4" s="5" t="n">
        <f aca="false">IF(A4="","",G4*J4)</f>
        <v>0</v>
      </c>
      <c r="O4" s="5" t="n">
        <f aca="false">IF(A4="","",M4-N4)</f>
        <v>0</v>
      </c>
      <c r="Q4" s="7" t="s">
        <v>44</v>
      </c>
      <c r="R4" s="8"/>
      <c r="S4" s="8"/>
      <c r="T4" s="8"/>
      <c r="U4" s="8"/>
      <c r="V4" s="8"/>
      <c r="W4" s="8"/>
      <c r="X4" s="8"/>
      <c r="Y4" s="8"/>
      <c r="Z4" s="8"/>
      <c r="AA4" s="8"/>
      <c r="AB4" s="7" t="n">
        <f aca="false">SUMPRODUCT(--(R4:AA4&gt;0),'Настройки цен'!$B$12:$K$12)</f>
        <v>0</v>
      </c>
      <c r="AC4" s="9" t="str">
        <f aca="false">IF(AB4=0,"",SUMPRODUCT(R4:AA4,'Настройки цен'!$B$11:$K$11,'Настройки цен'!$B$12:$K$12)/AB4)</f>
        <v/>
      </c>
      <c r="AD4" s="10"/>
      <c r="AE4" s="11" t="n">
        <f aca="false">IF(AD4&lt;&gt;"",AD4,IFERROR(IF(INDEX('Настройки цен'!$B$17:$B$24,MATCH(E4,'Настройки цен'!$A$17:$A$24,0))="",'Настройки цен'!$B$5,INDEX('Настройки цен'!$B$17:$B$24,MATCH(E4,'Настройки цен'!$A$17:$A$24,0))),'Настройки цен'!$B$5))</f>
        <v>0</v>
      </c>
      <c r="AF4" s="9" t="str">
        <f aca="false">IF(AC4="","",ROUND(AC4*(1+AE4)/'Настройки цен'!$B$6,0)*'Настройки цен'!$B$6)</f>
        <v/>
      </c>
      <c r="AG4" s="12" t="str">
        <f aca="false">IF(OR(AC4="",H4=""),"",H4/AC4-1)</f>
        <v/>
      </c>
      <c r="AH4" s="7"/>
    </row>
    <row r="5" customFormat="false" ht="15" hidden="false" customHeight="false" outlineLevel="0" collapsed="false">
      <c r="A5" s="3" t="n">
        <v>31603501014</v>
      </c>
      <c r="B5" s="3" t="s">
        <v>45</v>
      </c>
      <c r="D5" s="3" t="s">
        <v>36</v>
      </c>
      <c r="E5" s="3" t="s">
        <v>37</v>
      </c>
      <c r="F5" s="4"/>
      <c r="G5" s="5"/>
      <c r="H5" s="5" t="n">
        <v>45000</v>
      </c>
      <c r="I5" s="3" t="n">
        <v>11</v>
      </c>
      <c r="K5" s="6" t="n">
        <f aca="false">I5-J5</f>
        <v>11</v>
      </c>
      <c r="L5" s="5" t="n">
        <f aca="false">K5*H5</f>
        <v>495000</v>
      </c>
      <c r="M5" s="5" t="n">
        <f aca="false">IF(A5="","",H5*J5)</f>
        <v>0</v>
      </c>
      <c r="N5" s="5" t="n">
        <f aca="false">IF(A5="","",G5*J5)</f>
        <v>0</v>
      </c>
      <c r="O5" s="5" t="n">
        <f aca="false">IF(A5="","",M5-N5)</f>
        <v>0</v>
      </c>
      <c r="Q5" s="7" t="s">
        <v>46</v>
      </c>
      <c r="R5" s="8"/>
      <c r="S5" s="8"/>
      <c r="T5" s="8"/>
      <c r="U5" s="8"/>
      <c r="V5" s="8" t="n">
        <v>8429</v>
      </c>
      <c r="W5" s="8"/>
      <c r="X5" s="8"/>
      <c r="Y5" s="8"/>
      <c r="Z5" s="8"/>
      <c r="AA5" s="8"/>
      <c r="AB5" s="7" t="n">
        <f aca="false">SUMPRODUCT(--(R5:AA5&gt;0),'Настройки цен'!$B$12:$K$12)</f>
        <v>1</v>
      </c>
      <c r="AC5" s="9" t="n">
        <f aca="false">IF(AB5=0,"",SUMPRODUCT(R5:AA5,'Настройки цен'!$B$11:$K$11,'Настройки цен'!$B$12:$K$12)/AB5)</f>
        <v>44673.7</v>
      </c>
      <c r="AD5" s="10"/>
      <c r="AE5" s="11" t="n">
        <f aca="false">IF(AD5&lt;&gt;"",AD5,IFERROR(IF(INDEX('Настройки цен'!$B$17:$B$24,MATCH(E5,'Настройки цен'!$A$17:$A$24,0))="",'Настройки цен'!$B$5,INDEX('Настройки цен'!$B$17:$B$24,MATCH(E5,'Настройки цен'!$A$17:$A$24,0))),'Настройки цен'!$B$5))</f>
        <v>0</v>
      </c>
      <c r="AF5" s="9" t="n">
        <f aca="false">IF(AC5="","",ROUND(AC5*(1+AE5)/'Настройки цен'!$B$6,0)*'Настройки цен'!$B$6)</f>
        <v>44700</v>
      </c>
      <c r="AG5" s="12" t="n">
        <f aca="false">IF(OR(AC5="",H5=""),"",H5/AC5-1)</f>
        <v>0.00730407376151976</v>
      </c>
      <c r="AH5" s="7" t="s">
        <v>47</v>
      </c>
    </row>
    <row r="6" customFormat="false" ht="15" hidden="false" customHeight="false" outlineLevel="0" collapsed="false">
      <c r="A6" s="3" t="n">
        <v>3160350107602</v>
      </c>
      <c r="B6" s="3" t="s">
        <v>48</v>
      </c>
      <c r="D6" s="3" t="s">
        <v>36</v>
      </c>
      <c r="E6" s="3" t="s">
        <v>37</v>
      </c>
      <c r="F6" s="4"/>
      <c r="G6" s="5"/>
      <c r="H6" s="5" t="n">
        <v>15000</v>
      </c>
      <c r="I6" s="3" t="n">
        <v>5</v>
      </c>
      <c r="K6" s="6" t="n">
        <f aca="false">I6-J6</f>
        <v>5</v>
      </c>
      <c r="L6" s="5" t="n">
        <f aca="false">K6*H6</f>
        <v>75000</v>
      </c>
      <c r="M6" s="5" t="n">
        <f aca="false">IF(A6="","",H6*J6)</f>
        <v>0</v>
      </c>
      <c r="N6" s="5" t="n">
        <f aca="false">IF(A6="","",G6*J6)</f>
        <v>0</v>
      </c>
      <c r="O6" s="5" t="n">
        <f aca="false">IF(A6="","",M6-N6)</f>
        <v>0</v>
      </c>
      <c r="Q6" s="7" t="s">
        <v>49</v>
      </c>
      <c r="R6" s="8"/>
      <c r="S6" s="8"/>
      <c r="T6" s="8"/>
      <c r="U6" s="8"/>
      <c r="V6" s="8"/>
      <c r="W6" s="8"/>
      <c r="X6" s="8"/>
      <c r="Y6" s="8"/>
      <c r="Z6" s="8"/>
      <c r="AA6" s="8"/>
      <c r="AB6" s="7" t="n">
        <f aca="false">SUMPRODUCT(--(R6:AA6&gt;0),'Настройки цен'!$B$12:$K$12)</f>
        <v>0</v>
      </c>
      <c r="AC6" s="9" t="str">
        <f aca="false">IF(AB6=0,"",SUMPRODUCT(R6:AA6,'Настройки цен'!$B$11:$K$11,'Настройки цен'!$B$12:$K$12)/AB6)</f>
        <v/>
      </c>
      <c r="AD6" s="10"/>
      <c r="AE6" s="11" t="n">
        <f aca="false">IF(AD6&lt;&gt;"",AD6,IFERROR(IF(INDEX('Настройки цен'!$B$17:$B$24,MATCH(E6,'Настройки цен'!$A$17:$A$24,0))="",'Настройки цен'!$B$5,INDEX('Настройки цен'!$B$17:$B$24,MATCH(E6,'Настройки цен'!$A$17:$A$24,0))),'Настройки цен'!$B$5))</f>
        <v>0</v>
      </c>
      <c r="AF6" s="9" t="str">
        <f aca="false">IF(AC6="","",ROUND(AC6*(1+AE6)/'Настройки цен'!$B$6,0)*'Настройки цен'!$B$6)</f>
        <v/>
      </c>
      <c r="AG6" s="12" t="str">
        <f aca="false">IF(OR(AC6="",H6=""),"",H6/AC6-1)</f>
        <v/>
      </c>
      <c r="AH6" s="7"/>
    </row>
    <row r="7" customFormat="false" ht="15" hidden="false" customHeight="false" outlineLevel="0" collapsed="false">
      <c r="A7" s="3" t="n">
        <v>220600350209110</v>
      </c>
      <c r="B7" s="3" t="s">
        <v>50</v>
      </c>
      <c r="D7" s="3" t="s">
        <v>36</v>
      </c>
      <c r="E7" s="3" t="s">
        <v>37</v>
      </c>
      <c r="F7" s="4"/>
      <c r="G7" s="5"/>
      <c r="H7" s="5" t="n">
        <v>5000</v>
      </c>
      <c r="I7" s="3" t="n">
        <v>49</v>
      </c>
      <c r="K7" s="6" t="n">
        <f aca="false">I7-J7</f>
        <v>49</v>
      </c>
      <c r="L7" s="5" t="n">
        <f aca="false">K7*H7</f>
        <v>245000</v>
      </c>
      <c r="M7" s="5" t="n">
        <f aca="false">IF(A7="","",H7*J7)</f>
        <v>0</v>
      </c>
      <c r="N7" s="5" t="n">
        <f aca="false">IF(A7="","",G7*J7)</f>
        <v>0</v>
      </c>
      <c r="O7" s="5" t="n">
        <f aca="false">IF(A7="","",M7-N7)</f>
        <v>0</v>
      </c>
      <c r="Q7" s="7" t="s">
        <v>51</v>
      </c>
      <c r="R7" s="8"/>
      <c r="S7" s="8"/>
      <c r="T7" s="8"/>
      <c r="U7" s="8"/>
      <c r="V7" s="8"/>
      <c r="W7" s="8"/>
      <c r="X7" s="8"/>
      <c r="Y7" s="8"/>
      <c r="Z7" s="8"/>
      <c r="AA7" s="8"/>
      <c r="AB7" s="7" t="n">
        <f aca="false">SUMPRODUCT(--(R7:AA7&gt;0),'Настройки цен'!$B$12:$K$12)</f>
        <v>0</v>
      </c>
      <c r="AC7" s="9" t="str">
        <f aca="false">IF(AB7=0,"",SUMPRODUCT(R7:AA7,'Настройки цен'!$B$11:$K$11,'Настройки цен'!$B$12:$K$12)/AB7)</f>
        <v/>
      </c>
      <c r="AD7" s="10"/>
      <c r="AE7" s="11" t="n">
        <f aca="false">IF(AD7&lt;&gt;"",AD7,IFERROR(IF(INDEX('Настройки цен'!$B$17:$B$24,MATCH(E7,'Настройки цен'!$A$17:$A$24,0))="",'Настройки цен'!$B$5,INDEX('Настройки цен'!$B$17:$B$24,MATCH(E7,'Настройки цен'!$A$17:$A$24,0))),'Настройки цен'!$B$5))</f>
        <v>0</v>
      </c>
      <c r="AF7" s="9" t="str">
        <f aca="false">IF(AC7="","",ROUND(AC7*(1+AE7)/'Настройки цен'!$B$6,0)*'Настройки цен'!$B$6)</f>
        <v/>
      </c>
      <c r="AG7" s="12" t="str">
        <f aca="false">IF(OR(AC7="",H7=""),"",H7/AC7-1)</f>
        <v/>
      </c>
      <c r="AH7" s="7"/>
    </row>
    <row r="8" customFormat="false" ht="15" hidden="false" customHeight="false" outlineLevel="0" collapsed="false">
      <c r="A8" s="3" t="n">
        <v>316300350108805</v>
      </c>
      <c r="B8" s="3" t="s">
        <v>52</v>
      </c>
      <c r="D8" s="3" t="s">
        <v>36</v>
      </c>
      <c r="E8" s="3" t="s">
        <v>37</v>
      </c>
      <c r="F8" s="4"/>
      <c r="G8" s="5"/>
      <c r="H8" s="5" t="n">
        <v>8000</v>
      </c>
      <c r="I8" s="3" t="n">
        <v>9</v>
      </c>
      <c r="K8" s="6" t="n">
        <f aca="false">I8-J8</f>
        <v>9</v>
      </c>
      <c r="L8" s="5" t="n">
        <f aca="false">K8*H8</f>
        <v>72000</v>
      </c>
      <c r="M8" s="5" t="n">
        <f aca="false">IF(A8="","",H8*J8)</f>
        <v>0</v>
      </c>
      <c r="N8" s="5" t="n">
        <f aca="false">IF(A8="","",G8*J8)</f>
        <v>0</v>
      </c>
      <c r="O8" s="5" t="n">
        <f aca="false">IF(A8="","",M8-N8)</f>
        <v>0</v>
      </c>
      <c r="Q8" s="7" t="s">
        <v>53</v>
      </c>
      <c r="R8" s="8"/>
      <c r="S8" s="8"/>
      <c r="T8" s="8"/>
      <c r="U8" s="8"/>
      <c r="V8" s="8"/>
      <c r="W8" s="8"/>
      <c r="X8" s="8"/>
      <c r="Y8" s="8"/>
      <c r="Z8" s="8"/>
      <c r="AA8" s="8"/>
      <c r="AB8" s="7" t="n">
        <f aca="false">SUMPRODUCT(--(R8:AA8&gt;0),'Настройки цен'!$B$12:$K$12)</f>
        <v>0</v>
      </c>
      <c r="AC8" s="9" t="str">
        <f aca="false">IF(AB8=0,"",SUMPRODUCT(R8:AA8,'Настройки цен'!$B$11:$K$11,'Настройки цен'!$B$12:$K$12)/AB8)</f>
        <v/>
      </c>
      <c r="AD8" s="10"/>
      <c r="AE8" s="11" t="n">
        <f aca="false">IF(AD8&lt;&gt;"",AD8,IFERROR(IF(INDEX('Настройки цен'!$B$17:$B$24,MATCH(E8,'Настройки цен'!$A$17:$A$24,0))="",'Настройки цен'!$B$5,INDEX('Настройки цен'!$B$17:$B$24,MATCH(E8,'Настройки цен'!$A$17:$A$24,0))),'Настройки цен'!$B$5))</f>
        <v>0</v>
      </c>
      <c r="AF8" s="9" t="str">
        <f aca="false">IF(AC8="","",ROUND(AC8*(1+AE8)/'Настройки цен'!$B$6,0)*'Настройки цен'!$B$6)</f>
        <v/>
      </c>
      <c r="AG8" s="12" t="str">
        <f aca="false">IF(OR(AC8="",H8=""),"",H8/AC8-1)</f>
        <v/>
      </c>
      <c r="AH8" s="7"/>
    </row>
    <row r="9" customFormat="false" ht="15" hidden="false" customHeight="false" outlineLevel="0" collapsed="false">
      <c r="A9" s="3" t="n">
        <v>31632304019</v>
      </c>
      <c r="B9" s="3" t="s">
        <v>54</v>
      </c>
      <c r="D9" s="3" t="s">
        <v>36</v>
      </c>
      <c r="E9" s="3" t="s">
        <v>55</v>
      </c>
      <c r="F9" s="4"/>
      <c r="G9" s="5"/>
      <c r="H9" s="5" t="n">
        <v>15000</v>
      </c>
      <c r="I9" s="3" t="n">
        <v>5</v>
      </c>
      <c r="K9" s="6" t="n">
        <f aca="false">I9-J9</f>
        <v>5</v>
      </c>
      <c r="L9" s="5" t="n">
        <f aca="false">K9*H9</f>
        <v>75000</v>
      </c>
      <c r="M9" s="5" t="n">
        <f aca="false">IF(A9="","",H9*J9)</f>
        <v>0</v>
      </c>
      <c r="N9" s="5" t="n">
        <f aca="false">IF(A9="","",G9*J9)</f>
        <v>0</v>
      </c>
      <c r="O9" s="5" t="n">
        <f aca="false">IF(A9="","",M9-N9)</f>
        <v>0</v>
      </c>
      <c r="Q9" s="7" t="s">
        <v>56</v>
      </c>
      <c r="R9" s="8"/>
      <c r="S9" s="8"/>
      <c r="T9" s="8"/>
      <c r="U9" s="8"/>
      <c r="V9" s="8"/>
      <c r="W9" s="8"/>
      <c r="X9" s="8"/>
      <c r="Y9" s="8"/>
      <c r="Z9" s="8"/>
      <c r="AA9" s="8"/>
      <c r="AB9" s="7" t="n">
        <f aca="false">SUMPRODUCT(--(R9:AA9&gt;0),'Настройки цен'!$B$12:$K$12)</f>
        <v>0</v>
      </c>
      <c r="AC9" s="9" t="str">
        <f aca="false">IF(AB9=0,"",SUMPRODUCT(R9:AA9,'Настройки цен'!$B$11:$K$11,'Настройки цен'!$B$12:$K$12)/AB9)</f>
        <v/>
      </c>
      <c r="AD9" s="10"/>
      <c r="AE9" s="11" t="n">
        <f aca="false">IF(AD9&lt;&gt;"",AD9,IFERROR(IF(INDEX('Настройки цен'!$B$17:$B$24,MATCH(E9,'Настройки цен'!$A$17:$A$24,0))="",'Настройки цен'!$B$5,INDEX('Настройки цен'!$B$17:$B$24,MATCH(E9,'Настройки цен'!$A$17:$A$24,0))),'Настройки цен'!$B$5))</f>
        <v>0</v>
      </c>
      <c r="AF9" s="9" t="str">
        <f aca="false">IF(AC9="","",ROUND(AC9*(1+AE9)/'Настройки цен'!$B$6,0)*'Настройки цен'!$B$6)</f>
        <v/>
      </c>
      <c r="AG9" s="12" t="str">
        <f aca="false">IF(OR(AC9="",H9=""),"",H9/AC9-1)</f>
        <v/>
      </c>
      <c r="AH9" s="7"/>
    </row>
    <row r="10" customFormat="false" ht="15" hidden="false" customHeight="false" outlineLevel="0" collapsed="false">
      <c r="A10" s="3" t="n">
        <v>315120230440001</v>
      </c>
      <c r="B10" s="3" t="s">
        <v>57</v>
      </c>
      <c r="D10" s="3" t="s">
        <v>41</v>
      </c>
      <c r="E10" s="3" t="s">
        <v>55</v>
      </c>
      <c r="F10" s="4"/>
      <c r="G10" s="5"/>
      <c r="H10" s="5" t="n">
        <v>50000</v>
      </c>
      <c r="I10" s="3" t="n">
        <v>1</v>
      </c>
      <c r="K10" s="6" t="n">
        <f aca="false">I10-J10</f>
        <v>1</v>
      </c>
      <c r="L10" s="5" t="n">
        <f aca="false">K10*H10</f>
        <v>50000</v>
      </c>
      <c r="M10" s="5" t="n">
        <f aca="false">IF(A10="","",H10*J10)</f>
        <v>0</v>
      </c>
      <c r="N10" s="5" t="n">
        <f aca="false">IF(A10="","",G10*J10)</f>
        <v>0</v>
      </c>
      <c r="O10" s="5" t="n">
        <f aca="false">IF(A10="","",M10-N10)</f>
        <v>0</v>
      </c>
      <c r="Q10" s="7" t="s">
        <v>58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7" t="n">
        <f aca="false">SUMPRODUCT(--(R10:AA10&gt;0),'Настройки цен'!$B$12:$K$12)</f>
        <v>0</v>
      </c>
      <c r="AC10" s="9" t="str">
        <f aca="false">IF(AB10=0,"",SUMPRODUCT(R10:AA10,'Настройки цен'!$B$11:$K$11,'Настройки цен'!$B$12:$K$12)/AB10)</f>
        <v/>
      </c>
      <c r="AD10" s="10"/>
      <c r="AE10" s="11" t="n">
        <f aca="false">IF(AD10&lt;&gt;"",AD10,IFERROR(IF(INDEX('Настройки цен'!$B$17:$B$24,MATCH(E10,'Настройки цен'!$A$17:$A$24,0))="",'Настройки цен'!$B$5,INDEX('Настройки цен'!$B$17:$B$24,MATCH(E10,'Настройки цен'!$A$17:$A$24,0))),'Настройки цен'!$B$5))</f>
        <v>0</v>
      </c>
      <c r="AF10" s="9" t="str">
        <f aca="false">IF(AC10="","",ROUND(AC10*(1+AE10)/'Настройки цен'!$B$6,0)*'Настройки цен'!$B$6)</f>
        <v/>
      </c>
      <c r="AG10" s="12" t="str">
        <f aca="false">IF(OR(AC10="",H10=""),"",H10/AC10-1)</f>
        <v/>
      </c>
      <c r="AH10" s="7"/>
    </row>
    <row r="11" customFormat="false" ht="15" hidden="false" customHeight="false" outlineLevel="0" collapsed="false">
      <c r="B11" s="3" t="s">
        <v>59</v>
      </c>
      <c r="D11" s="3" t="s">
        <v>41</v>
      </c>
      <c r="E11" s="3" t="s">
        <v>55</v>
      </c>
      <c r="F11" s="4"/>
      <c r="G11" s="5"/>
      <c r="H11" s="5" t="n">
        <v>5000</v>
      </c>
      <c r="I11" s="3" t="n">
        <v>16</v>
      </c>
      <c r="K11" s="6" t="n">
        <f aca="false">I11-J11</f>
        <v>16</v>
      </c>
      <c r="L11" s="5" t="n">
        <f aca="false">K11*H11</f>
        <v>80000</v>
      </c>
      <c r="M11" s="5" t="str">
        <f aca="false">IF(A11="","",H11*J11)</f>
        <v/>
      </c>
      <c r="N11" s="5" t="str">
        <f aca="false">IF(A11="","",G11*J11)</f>
        <v/>
      </c>
      <c r="O11" s="5" t="str">
        <f aca="false">IF(A11="","",M11-N11)</f>
        <v/>
      </c>
      <c r="Q11" s="7"/>
      <c r="R11" s="8"/>
      <c r="S11" s="8"/>
      <c r="T11" s="8"/>
      <c r="U11" s="8"/>
      <c r="V11" s="8"/>
      <c r="W11" s="8"/>
      <c r="X11" s="8"/>
      <c r="Y11" s="8"/>
      <c r="Z11" s="8"/>
      <c r="AA11" s="8"/>
      <c r="AB11" s="7" t="n">
        <f aca="false">SUMPRODUCT(--(R11:AA11&gt;0),'Настройки цен'!$B$12:$K$12)</f>
        <v>0</v>
      </c>
      <c r="AC11" s="9" t="str">
        <f aca="false">IF(AB11=0,"",SUMPRODUCT(R11:AA11,'Настройки цен'!$B$11:$K$11,'Настройки цен'!$B$12:$K$12)/AB11)</f>
        <v/>
      </c>
      <c r="AD11" s="10"/>
      <c r="AE11" s="11" t="n">
        <f aca="false">IF(AD11&lt;&gt;"",AD11,IFERROR(IF(INDEX('Настройки цен'!$B$17:$B$24,MATCH(E11,'Настройки цен'!$A$17:$A$24,0))="",'Настройки цен'!$B$5,INDEX('Настройки цен'!$B$17:$B$24,MATCH(E11,'Настройки цен'!$A$17:$A$24,0))),'Настройки цен'!$B$5))</f>
        <v>0</v>
      </c>
      <c r="AF11" s="9" t="str">
        <f aca="false">IF(AC11="","",ROUND(AC11*(1+AE11)/'Настройки цен'!$B$6,0)*'Настройки цен'!$B$6)</f>
        <v/>
      </c>
      <c r="AG11" s="12" t="str">
        <f aca="false">IF(OR(AC11="",H11=""),"",H11/AC11-1)</f>
        <v/>
      </c>
      <c r="AH11" s="7"/>
    </row>
    <row r="12" customFormat="false" ht="15" hidden="false" customHeight="false" outlineLevel="0" collapsed="false">
      <c r="B12" s="3" t="s">
        <v>60</v>
      </c>
      <c r="D12" s="3" t="s">
        <v>35</v>
      </c>
      <c r="E12" s="3" t="s">
        <v>55</v>
      </c>
      <c r="F12" s="4"/>
      <c r="G12" s="5"/>
      <c r="H12" s="5" t="n">
        <v>10000</v>
      </c>
      <c r="I12" s="3" t="n">
        <v>50</v>
      </c>
      <c r="K12" s="6" t="n">
        <f aca="false">I12-J12</f>
        <v>50</v>
      </c>
      <c r="L12" s="5" t="n">
        <f aca="false">K12*H12</f>
        <v>500000</v>
      </c>
      <c r="M12" s="5" t="str">
        <f aca="false">IF(A12="","",H12*J12)</f>
        <v/>
      </c>
      <c r="N12" s="5" t="str">
        <f aca="false">IF(A12="","",G12*J12)</f>
        <v/>
      </c>
      <c r="O12" s="5" t="str">
        <f aca="false">IF(A12="","",M12-N12)</f>
        <v/>
      </c>
      <c r="Q12" s="7"/>
      <c r="R12" s="8"/>
      <c r="S12" s="8"/>
      <c r="T12" s="8"/>
      <c r="U12" s="8"/>
      <c r="V12" s="8"/>
      <c r="W12" s="8"/>
      <c r="X12" s="8"/>
      <c r="Y12" s="8"/>
      <c r="Z12" s="8"/>
      <c r="AA12" s="8"/>
      <c r="AB12" s="7" t="n">
        <f aca="false">SUMPRODUCT(--(R12:AA12&gt;0),'Настройки цен'!$B$12:$K$12)</f>
        <v>0</v>
      </c>
      <c r="AC12" s="9" t="str">
        <f aca="false">IF(AB12=0,"",SUMPRODUCT(R12:AA12,'Настройки цен'!$B$11:$K$11,'Настройки цен'!$B$12:$K$12)/AB12)</f>
        <v/>
      </c>
      <c r="AD12" s="10"/>
      <c r="AE12" s="11" t="n">
        <f aca="false">IF(AD12&lt;&gt;"",AD12,IFERROR(IF(INDEX('Настройки цен'!$B$17:$B$24,MATCH(E12,'Настройки цен'!$A$17:$A$24,0))="",'Настройки цен'!$B$5,INDEX('Настройки цен'!$B$17:$B$24,MATCH(E12,'Настройки цен'!$A$17:$A$24,0))),'Настройки цен'!$B$5))</f>
        <v>0</v>
      </c>
      <c r="AF12" s="9" t="str">
        <f aca="false">IF(AC12="","",ROUND(AC12*(1+AE12)/'Настройки цен'!$B$6,0)*'Настройки цен'!$B$6)</f>
        <v/>
      </c>
      <c r="AG12" s="12" t="str">
        <f aca="false">IF(OR(AC12="",H12=""),"",H12/AC12-1)</f>
        <v/>
      </c>
      <c r="AH12" s="7"/>
    </row>
    <row r="13" customFormat="false" ht="15" hidden="false" customHeight="false" outlineLevel="0" collapsed="false">
      <c r="B13" s="3" t="s">
        <v>61</v>
      </c>
      <c r="D13" s="3" t="s">
        <v>35</v>
      </c>
      <c r="E13" s="3" t="s">
        <v>55</v>
      </c>
      <c r="F13" s="4"/>
      <c r="G13" s="5"/>
      <c r="H13" s="5" t="n">
        <v>15000</v>
      </c>
      <c r="I13" s="3" t="n">
        <v>2</v>
      </c>
      <c r="K13" s="6" t="n">
        <f aca="false">I13-J13</f>
        <v>2</v>
      </c>
      <c r="L13" s="5" t="n">
        <f aca="false">K13*H13</f>
        <v>30000</v>
      </c>
      <c r="M13" s="5" t="str">
        <f aca="false">IF(A13="","",H13*J13)</f>
        <v/>
      </c>
      <c r="N13" s="5" t="str">
        <f aca="false">IF(A13="","",G13*J13)</f>
        <v/>
      </c>
      <c r="O13" s="5" t="str">
        <f aca="false">IF(A13="","",M13-N13)</f>
        <v/>
      </c>
      <c r="Q13" s="7"/>
      <c r="R13" s="8"/>
      <c r="S13" s="8"/>
      <c r="T13" s="8"/>
      <c r="U13" s="8"/>
      <c r="V13" s="8"/>
      <c r="W13" s="8"/>
      <c r="X13" s="8"/>
      <c r="Y13" s="8"/>
      <c r="Z13" s="8"/>
      <c r="AA13" s="8"/>
      <c r="AB13" s="7" t="n">
        <f aca="false">SUMPRODUCT(--(R13:AA13&gt;0),'Настройки цен'!$B$12:$K$12)</f>
        <v>0</v>
      </c>
      <c r="AC13" s="9" t="str">
        <f aca="false">IF(AB13=0,"",SUMPRODUCT(R13:AA13,'Настройки цен'!$B$11:$K$11,'Настройки цен'!$B$12:$K$12)/AB13)</f>
        <v/>
      </c>
      <c r="AD13" s="10"/>
      <c r="AE13" s="11" t="n">
        <f aca="false">IF(AD13&lt;&gt;"",AD13,IFERROR(IF(INDEX('Настройки цен'!$B$17:$B$24,MATCH(E13,'Настройки цен'!$A$17:$A$24,0))="",'Настройки цен'!$B$5,INDEX('Настройки цен'!$B$17:$B$24,MATCH(E13,'Настройки цен'!$A$17:$A$24,0))),'Настройки цен'!$B$5))</f>
        <v>0</v>
      </c>
      <c r="AF13" s="9" t="str">
        <f aca="false">IF(AC13="","",ROUND(AC13*(1+AE13)/'Настройки цен'!$B$6,0)*'Настройки цен'!$B$6)</f>
        <v/>
      </c>
      <c r="AG13" s="12" t="str">
        <f aca="false">IF(OR(AC13="",H13=""),"",H13/AC13-1)</f>
        <v/>
      </c>
      <c r="AH13" s="7"/>
    </row>
    <row r="14" customFormat="false" ht="15" hidden="false" customHeight="false" outlineLevel="0" collapsed="false">
      <c r="A14" s="3" t="s">
        <v>62</v>
      </c>
      <c r="B14" s="3" t="s">
        <v>63</v>
      </c>
      <c r="D14" s="3" t="s">
        <v>41</v>
      </c>
      <c r="E14" s="3" t="s">
        <v>55</v>
      </c>
      <c r="F14" s="4"/>
      <c r="G14" s="5"/>
      <c r="H14" s="5" t="n">
        <v>1500</v>
      </c>
      <c r="I14" s="3" t="n">
        <v>13</v>
      </c>
      <c r="K14" s="6" t="n">
        <f aca="false">I14-J14</f>
        <v>13</v>
      </c>
      <c r="L14" s="5" t="n">
        <f aca="false">K14*H14</f>
        <v>19500</v>
      </c>
      <c r="M14" s="5" t="n">
        <f aca="false">IF(A14="","",H14*J14)</f>
        <v>0</v>
      </c>
      <c r="N14" s="5" t="n">
        <f aca="false">IF(A14="","",G14*J14)</f>
        <v>0</v>
      </c>
      <c r="O14" s="5" t="n">
        <f aca="false">IF(A14="","",M14-N14)</f>
        <v>0</v>
      </c>
      <c r="Q14" s="7" t="s">
        <v>62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7" t="n">
        <f aca="false">SUMPRODUCT(--(R14:AA14&gt;0),'Настройки цен'!$B$12:$K$12)</f>
        <v>0</v>
      </c>
      <c r="AC14" s="9" t="str">
        <f aca="false">IF(AB14=0,"",SUMPRODUCT(R14:AA14,'Настройки цен'!$B$11:$K$11,'Настройки цен'!$B$12:$K$12)/AB14)</f>
        <v/>
      </c>
      <c r="AD14" s="10"/>
      <c r="AE14" s="11" t="n">
        <f aca="false">IF(AD14&lt;&gt;"",AD14,IFERROR(IF(INDEX('Настройки цен'!$B$17:$B$24,MATCH(E14,'Настройки цен'!$A$17:$A$24,0))="",'Настройки цен'!$B$5,INDEX('Настройки цен'!$B$17:$B$24,MATCH(E14,'Настройки цен'!$A$17:$A$24,0))),'Настройки цен'!$B$5))</f>
        <v>0</v>
      </c>
      <c r="AF14" s="9" t="str">
        <f aca="false">IF(AC14="","",ROUND(AC14*(1+AE14)/'Настройки цен'!$B$6,0)*'Настройки цен'!$B$6)</f>
        <v/>
      </c>
      <c r="AG14" s="12" t="str">
        <f aca="false">IF(OR(AC14="",H14=""),"",H14/AC14-1)</f>
        <v/>
      </c>
      <c r="AH14" s="7"/>
    </row>
    <row r="15" customFormat="false" ht="15" hidden="false" customHeight="false" outlineLevel="0" collapsed="false">
      <c r="A15" s="3" t="s">
        <v>64</v>
      </c>
      <c r="B15" s="3" t="s">
        <v>65</v>
      </c>
      <c r="D15" s="3" t="s">
        <v>66</v>
      </c>
      <c r="E15" s="3" t="s">
        <v>55</v>
      </c>
      <c r="F15" s="4"/>
      <c r="G15" s="5"/>
      <c r="H15" s="5" t="n">
        <v>1000</v>
      </c>
      <c r="I15" s="3" t="n">
        <v>30</v>
      </c>
      <c r="K15" s="6" t="n">
        <f aca="false">I15-J15</f>
        <v>30</v>
      </c>
      <c r="L15" s="5" t="n">
        <f aca="false">K15*H15</f>
        <v>30000</v>
      </c>
      <c r="M15" s="5" t="n">
        <f aca="false">IF(A15="","",H15*J15)</f>
        <v>0</v>
      </c>
      <c r="N15" s="5" t="n">
        <f aca="false">IF(A15="","",G15*J15)</f>
        <v>0</v>
      </c>
      <c r="O15" s="5" t="n">
        <f aca="false">IF(A15="","",M15-N15)</f>
        <v>0</v>
      </c>
      <c r="Q15" s="7" t="s">
        <v>64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7" t="n">
        <f aca="false">SUMPRODUCT(--(R15:AA15&gt;0),'Настройки цен'!$B$12:$K$12)</f>
        <v>0</v>
      </c>
      <c r="AC15" s="9" t="str">
        <f aca="false">IF(AB15=0,"",SUMPRODUCT(R15:AA15,'Настройки цен'!$B$11:$K$11,'Настройки цен'!$B$12:$K$12)/AB15)</f>
        <v/>
      </c>
      <c r="AD15" s="10"/>
      <c r="AE15" s="11" t="n">
        <f aca="false">IF(AD15&lt;&gt;"",AD15,IFERROR(IF(INDEX('Настройки цен'!$B$17:$B$24,MATCH(E15,'Настройки цен'!$A$17:$A$24,0))="",'Настройки цен'!$B$5,INDEX('Настройки цен'!$B$17:$B$24,MATCH(E15,'Настройки цен'!$A$17:$A$24,0))),'Настройки цен'!$B$5))</f>
        <v>0</v>
      </c>
      <c r="AF15" s="9" t="str">
        <f aca="false">IF(AC15="","",ROUND(AC15*(1+AE15)/'Настройки цен'!$B$6,0)*'Настройки цен'!$B$6)</f>
        <v/>
      </c>
      <c r="AG15" s="12" t="str">
        <f aca="false">IF(OR(AC15="",H15=""),"",H15/AC15-1)</f>
        <v/>
      </c>
      <c r="AH15" s="7"/>
    </row>
    <row r="16" customFormat="false" ht="15" hidden="false" customHeight="false" outlineLevel="0" collapsed="false">
      <c r="A16" s="3" t="s">
        <v>67</v>
      </c>
      <c r="B16" s="3" t="s">
        <v>68</v>
      </c>
      <c r="D16" s="3" t="s">
        <v>69</v>
      </c>
      <c r="E16" s="3" t="s">
        <v>70</v>
      </c>
      <c r="F16" s="4"/>
      <c r="G16" s="5"/>
      <c r="H16" s="5" t="n">
        <v>2000</v>
      </c>
      <c r="I16" s="3" t="n">
        <v>10</v>
      </c>
      <c r="K16" s="6" t="n">
        <f aca="false">I16-J16</f>
        <v>10</v>
      </c>
      <c r="L16" s="5" t="n">
        <f aca="false">K16*H16</f>
        <v>20000</v>
      </c>
      <c r="M16" s="5" t="n">
        <f aca="false">IF(A16="","",H16*J16)</f>
        <v>0</v>
      </c>
      <c r="N16" s="5" t="n">
        <f aca="false">IF(A16="","",G16*J16)</f>
        <v>0</v>
      </c>
      <c r="O16" s="5" t="n">
        <f aca="false">IF(A16="","",M16-N16)</f>
        <v>0</v>
      </c>
      <c r="Q16" s="7" t="s">
        <v>67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7" t="n">
        <f aca="false">SUMPRODUCT(--(R16:AA16&gt;0),'Настройки цен'!$B$12:$K$12)</f>
        <v>0</v>
      </c>
      <c r="AC16" s="9" t="str">
        <f aca="false">IF(AB16=0,"",SUMPRODUCT(R16:AA16,'Настройки цен'!$B$11:$K$11,'Настройки цен'!$B$12:$K$12)/AB16)</f>
        <v/>
      </c>
      <c r="AD16" s="10"/>
      <c r="AE16" s="11" t="n">
        <f aca="false">IF(AD16&lt;&gt;"",AD16,IFERROR(IF(INDEX('Настройки цен'!$B$17:$B$24,MATCH(E16,'Настройки цен'!$A$17:$A$24,0))="",'Настройки цен'!$B$5,INDEX('Настройки цен'!$B$17:$B$24,MATCH(E16,'Настройки цен'!$A$17:$A$24,0))),'Настройки цен'!$B$5))</f>
        <v>0</v>
      </c>
      <c r="AF16" s="9" t="str">
        <f aca="false">IF(AC16="","",ROUND(AC16*(1+AE16)/'Настройки цен'!$B$6,0)*'Настройки цен'!$B$6)</f>
        <v/>
      </c>
      <c r="AG16" s="12" t="str">
        <f aca="false">IF(OR(AC16="",H16=""),"",H16/AC16-1)</f>
        <v/>
      </c>
      <c r="AH16" s="7"/>
    </row>
    <row r="17" customFormat="false" ht="15" hidden="false" customHeight="false" outlineLevel="0" collapsed="false">
      <c r="A17" s="3" t="s">
        <v>71</v>
      </c>
      <c r="B17" s="3" t="s">
        <v>68</v>
      </c>
      <c r="D17" s="3" t="s">
        <v>69</v>
      </c>
      <c r="E17" s="3" t="s">
        <v>70</v>
      </c>
      <c r="F17" s="4"/>
      <c r="G17" s="5"/>
      <c r="H17" s="5" t="n">
        <v>4000</v>
      </c>
      <c r="I17" s="3" t="n">
        <v>40</v>
      </c>
      <c r="K17" s="6" t="n">
        <f aca="false">I17-J17</f>
        <v>40</v>
      </c>
      <c r="L17" s="5" t="n">
        <f aca="false">K17*H17</f>
        <v>160000</v>
      </c>
      <c r="M17" s="5" t="n">
        <f aca="false">IF(A17="","",H17*J17)</f>
        <v>0</v>
      </c>
      <c r="N17" s="5" t="n">
        <f aca="false">IF(A17="","",G17*J17)</f>
        <v>0</v>
      </c>
      <c r="O17" s="5" t="n">
        <f aca="false">IF(A17="","",M17-N17)</f>
        <v>0</v>
      </c>
      <c r="Q17" s="7" t="s">
        <v>71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7" t="n">
        <f aca="false">SUMPRODUCT(--(R17:AA17&gt;0),'Настройки цен'!$B$12:$K$12)</f>
        <v>0</v>
      </c>
      <c r="AC17" s="9" t="str">
        <f aca="false">IF(AB17=0,"",SUMPRODUCT(R17:AA17,'Настройки цен'!$B$11:$K$11,'Настройки цен'!$B$12:$K$12)/AB17)</f>
        <v/>
      </c>
      <c r="AD17" s="10"/>
      <c r="AE17" s="11" t="n">
        <f aca="false">IF(AD17&lt;&gt;"",AD17,IFERROR(IF(INDEX('Настройки цен'!$B$17:$B$24,MATCH(E17,'Настройки цен'!$A$17:$A$24,0))="",'Настройки цен'!$B$5,INDEX('Настройки цен'!$B$17:$B$24,MATCH(E17,'Настройки цен'!$A$17:$A$24,0))),'Настройки цен'!$B$5))</f>
        <v>0</v>
      </c>
      <c r="AF17" s="9" t="str">
        <f aca="false">IF(AC17="","",ROUND(AC17*(1+AE17)/'Настройки цен'!$B$6,0)*'Настройки цен'!$B$6)</f>
        <v/>
      </c>
      <c r="AG17" s="12" t="str">
        <f aca="false">IF(OR(AC17="",H17=""),"",H17/AC17-1)</f>
        <v/>
      </c>
      <c r="AH17" s="7"/>
    </row>
    <row r="18" customFormat="false" ht="15" hidden="false" customHeight="false" outlineLevel="0" collapsed="false">
      <c r="A18" s="3" t="n">
        <v>21212202025</v>
      </c>
      <c r="B18" s="3" t="s">
        <v>72</v>
      </c>
      <c r="D18" s="3" t="s">
        <v>69</v>
      </c>
      <c r="E18" s="3" t="s">
        <v>55</v>
      </c>
      <c r="F18" s="4"/>
      <c r="G18" s="5"/>
      <c r="H18" s="5" t="n">
        <v>4000</v>
      </c>
      <c r="I18" s="3" t="n">
        <v>1</v>
      </c>
      <c r="K18" s="6" t="n">
        <f aca="false">I18-J18</f>
        <v>1</v>
      </c>
      <c r="L18" s="5" t="n">
        <f aca="false">K18*H18</f>
        <v>4000</v>
      </c>
      <c r="M18" s="5" t="n">
        <f aca="false">IF(A18="","",H18*J18)</f>
        <v>0</v>
      </c>
      <c r="N18" s="5" t="n">
        <f aca="false">IF(A18="","",G18*J18)</f>
        <v>0</v>
      </c>
      <c r="O18" s="5" t="n">
        <f aca="false">IF(A18="","",M18-N18)</f>
        <v>0</v>
      </c>
      <c r="Q18" s="7" t="s">
        <v>73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7" t="n">
        <f aca="false">SUMPRODUCT(--(R18:AA18&gt;0),'Настройки цен'!$B$12:$K$12)</f>
        <v>0</v>
      </c>
      <c r="AC18" s="9" t="str">
        <f aca="false">IF(AB18=0,"",SUMPRODUCT(R18:AA18,'Настройки цен'!$B$11:$K$11,'Настройки цен'!$B$12:$K$12)/AB18)</f>
        <v/>
      </c>
      <c r="AD18" s="10"/>
      <c r="AE18" s="11" t="n">
        <f aca="false">IF(AD18&lt;&gt;"",AD18,IFERROR(IF(INDEX('Настройки цен'!$B$17:$B$24,MATCH(E18,'Настройки цен'!$A$17:$A$24,0))="",'Настройки цен'!$B$5,INDEX('Настройки цен'!$B$17:$B$24,MATCH(E18,'Настройки цен'!$A$17:$A$24,0))),'Настройки цен'!$B$5))</f>
        <v>0</v>
      </c>
      <c r="AF18" s="9" t="str">
        <f aca="false">IF(AC18="","",ROUND(AC18*(1+AE18)/'Настройки цен'!$B$6,0)*'Настройки цен'!$B$6)</f>
        <v/>
      </c>
      <c r="AG18" s="12" t="str">
        <f aca="false">IF(OR(AC18="",H18=""),"",H18/AC18-1)</f>
        <v/>
      </c>
      <c r="AH18" s="7"/>
    </row>
    <row r="19" customFormat="false" ht="15" hidden="false" customHeight="false" outlineLevel="0" collapsed="false">
      <c r="A19" s="3" t="n">
        <v>21052202025</v>
      </c>
      <c r="B19" s="3" t="s">
        <v>74</v>
      </c>
      <c r="D19" s="3" t="s">
        <v>69</v>
      </c>
      <c r="E19" s="3" t="s">
        <v>55</v>
      </c>
      <c r="F19" s="4"/>
      <c r="G19" s="5"/>
      <c r="H19" s="5" t="n">
        <v>3000</v>
      </c>
      <c r="I19" s="3" t="n">
        <v>16</v>
      </c>
      <c r="K19" s="6" t="n">
        <f aca="false">I19-J19</f>
        <v>16</v>
      </c>
      <c r="L19" s="5" t="n">
        <f aca="false">K19*H19</f>
        <v>48000</v>
      </c>
      <c r="M19" s="5" t="n">
        <f aca="false">IF(A19="","",H19*J19)</f>
        <v>0</v>
      </c>
      <c r="N19" s="5" t="n">
        <f aca="false">IF(A19="","",G19*J19)</f>
        <v>0</v>
      </c>
      <c r="O19" s="5" t="n">
        <f aca="false">IF(A19="","",M19-N19)</f>
        <v>0</v>
      </c>
      <c r="Q19" s="7" t="s">
        <v>75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7" t="n">
        <f aca="false">SUMPRODUCT(--(R19:AA19&gt;0),'Настройки цен'!$B$12:$K$12)</f>
        <v>0</v>
      </c>
      <c r="AC19" s="9" t="str">
        <f aca="false">IF(AB19=0,"",SUMPRODUCT(R19:AA19,'Настройки цен'!$B$11:$K$11,'Настройки цен'!$B$12:$K$12)/AB19)</f>
        <v/>
      </c>
      <c r="AD19" s="10"/>
      <c r="AE19" s="11" t="n">
        <f aca="false">IF(AD19&lt;&gt;"",AD19,IFERROR(IF(INDEX('Настройки цен'!$B$17:$B$24,MATCH(E19,'Настройки цен'!$A$17:$A$24,0))="",'Настройки цен'!$B$5,INDEX('Настройки цен'!$B$17:$B$24,MATCH(E19,'Настройки цен'!$A$17:$A$24,0))),'Настройки цен'!$B$5))</f>
        <v>0</v>
      </c>
      <c r="AF19" s="9" t="str">
        <f aca="false">IF(AC19="","",ROUND(AC19*(1+AE19)/'Настройки цен'!$B$6,0)*'Настройки цен'!$B$6)</f>
        <v/>
      </c>
      <c r="AG19" s="12" t="str">
        <f aca="false">IF(OR(AC19="",H19=""),"",H19/AC19-1)</f>
        <v/>
      </c>
      <c r="AH19" s="7"/>
    </row>
    <row r="20" customFormat="false" ht="15" hidden="false" customHeight="false" outlineLevel="0" collapsed="false">
      <c r="A20" s="3" t="n">
        <v>469003501041496</v>
      </c>
      <c r="B20" s="3" t="s">
        <v>76</v>
      </c>
      <c r="D20" s="3" t="s">
        <v>41</v>
      </c>
      <c r="E20" s="3" t="s">
        <v>37</v>
      </c>
      <c r="F20" s="4"/>
      <c r="G20" s="5"/>
      <c r="H20" s="5" t="n">
        <v>5000</v>
      </c>
      <c r="I20" s="3" t="n">
        <v>13</v>
      </c>
      <c r="K20" s="6" t="n">
        <f aca="false">I20-J20</f>
        <v>13</v>
      </c>
      <c r="L20" s="5" t="n">
        <f aca="false">K20*H20</f>
        <v>65000</v>
      </c>
      <c r="M20" s="5" t="n">
        <f aca="false">IF(A20="","",H20*J20)</f>
        <v>0</v>
      </c>
      <c r="N20" s="5" t="n">
        <f aca="false">IF(A20="","",G20*J20)</f>
        <v>0</v>
      </c>
      <c r="O20" s="5" t="n">
        <f aca="false">IF(A20="","",M20-N20)</f>
        <v>0</v>
      </c>
      <c r="Q20" s="7" t="s">
        <v>77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7" t="n">
        <f aca="false">SUMPRODUCT(--(R20:AA20&gt;0),'Настройки цен'!$B$12:$K$12)</f>
        <v>0</v>
      </c>
      <c r="AC20" s="9" t="str">
        <f aca="false">IF(AB20=0,"",SUMPRODUCT(R20:AA20,'Настройки цен'!$B$11:$K$11,'Настройки цен'!$B$12:$K$12)/AB20)</f>
        <v/>
      </c>
      <c r="AD20" s="10"/>
      <c r="AE20" s="11" t="n">
        <f aca="false">IF(AD20&lt;&gt;"",AD20,IFERROR(IF(INDEX('Настройки цен'!$B$17:$B$24,MATCH(E20,'Настройки цен'!$A$17:$A$24,0))="",'Настройки цен'!$B$5,INDEX('Настройки цен'!$B$17:$B$24,MATCH(E20,'Настройки цен'!$A$17:$A$24,0))),'Настройки цен'!$B$5))</f>
        <v>0</v>
      </c>
      <c r="AF20" s="9" t="str">
        <f aca="false">IF(AC20="","",ROUND(AC20*(1+AE20)/'Настройки цен'!$B$6,0)*'Настройки цен'!$B$6)</f>
        <v/>
      </c>
      <c r="AG20" s="12" t="str">
        <f aca="false">IF(OR(AC20="",H20=""),"",H20/AC20-1)</f>
        <v/>
      </c>
      <c r="AH20" s="7"/>
    </row>
    <row r="21" customFormat="false" ht="15.75" hidden="false" customHeight="true" outlineLevel="0" collapsed="false">
      <c r="A21" s="3" t="n">
        <v>469003501040496</v>
      </c>
      <c r="B21" s="3" t="s">
        <v>78</v>
      </c>
      <c r="D21" s="3" t="s">
        <v>35</v>
      </c>
      <c r="E21" s="3" t="s">
        <v>37</v>
      </c>
      <c r="F21" s="4"/>
      <c r="G21" s="5"/>
      <c r="H21" s="5" t="n">
        <v>5000</v>
      </c>
      <c r="I21" s="3" t="n">
        <v>4</v>
      </c>
      <c r="K21" s="6" t="n">
        <f aca="false">I21-J21</f>
        <v>4</v>
      </c>
      <c r="L21" s="5" t="n">
        <f aca="false">K21*H21</f>
        <v>20000</v>
      </c>
      <c r="M21" s="5" t="n">
        <f aca="false">IF(A21="","",H21*J21)</f>
        <v>0</v>
      </c>
      <c r="N21" s="5" t="n">
        <f aca="false">IF(A21="","",G21*J21)</f>
        <v>0</v>
      </c>
      <c r="O21" s="5" t="n">
        <f aca="false">IF(A21="","",M21-N21)</f>
        <v>0</v>
      </c>
      <c r="Q21" s="7" t="s">
        <v>79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7" t="n">
        <f aca="false">SUMPRODUCT(--(R21:AA21&gt;0),'Настройки цен'!$B$12:$K$12)</f>
        <v>0</v>
      </c>
      <c r="AC21" s="9" t="str">
        <f aca="false">IF(AB21=0,"",SUMPRODUCT(R21:AA21,'Настройки цен'!$B$11:$K$11,'Настройки цен'!$B$12:$K$12)/AB21)</f>
        <v/>
      </c>
      <c r="AD21" s="10"/>
      <c r="AE21" s="11" t="n">
        <f aca="false">IF(AD21&lt;&gt;"",AD21,IFERROR(IF(INDEX('Настройки цен'!$B$17:$B$24,MATCH(E21,'Настройки цен'!$A$17:$A$24,0))="",'Настройки цен'!$B$5,INDEX('Настройки цен'!$B$17:$B$24,MATCH(E21,'Настройки цен'!$A$17:$A$24,0))),'Настройки цен'!$B$5))</f>
        <v>0</v>
      </c>
      <c r="AF21" s="9" t="str">
        <f aca="false">IF(AC21="","",ROUND(AC21*(1+AE21)/'Настройки цен'!$B$6,0)*'Настройки цен'!$B$6)</f>
        <v/>
      </c>
      <c r="AG21" s="12" t="str">
        <f aca="false">IF(OR(AC21="",H21=""),"",H21/AC21-1)</f>
        <v/>
      </c>
      <c r="AH21" s="7"/>
    </row>
    <row r="22" customFormat="false" ht="15.75" hidden="false" customHeight="true" outlineLevel="0" collapsed="false">
      <c r="B22" s="3" t="s">
        <v>80</v>
      </c>
      <c r="D22" s="3" t="s">
        <v>41</v>
      </c>
      <c r="E22" s="3" t="s">
        <v>55</v>
      </c>
      <c r="F22" s="4"/>
      <c r="G22" s="5"/>
      <c r="H22" s="5" t="n">
        <v>50000</v>
      </c>
      <c r="I22" s="3" t="n">
        <v>5</v>
      </c>
      <c r="K22" s="6" t="n">
        <f aca="false">I22-J22</f>
        <v>5</v>
      </c>
      <c r="L22" s="5" t="n">
        <f aca="false">K22*H22</f>
        <v>250000</v>
      </c>
      <c r="M22" s="5" t="str">
        <f aca="false">IF(A22="","",H22*J22)</f>
        <v/>
      </c>
      <c r="N22" s="5" t="str">
        <f aca="false">IF(A22="","",G22*J22)</f>
        <v/>
      </c>
      <c r="O22" s="5" t="str">
        <f aca="false">IF(A22="","",M22-N22)</f>
        <v/>
      </c>
      <c r="Q22" s="7"/>
      <c r="R22" s="8"/>
      <c r="S22" s="8"/>
      <c r="T22" s="8"/>
      <c r="U22" s="8"/>
      <c r="V22" s="8"/>
      <c r="W22" s="8"/>
      <c r="X22" s="8"/>
      <c r="Y22" s="8"/>
      <c r="Z22" s="8"/>
      <c r="AA22" s="8"/>
      <c r="AB22" s="7" t="n">
        <f aca="false">SUMPRODUCT(--(R22:AA22&gt;0),'Настройки цен'!$B$12:$K$12)</f>
        <v>0</v>
      </c>
      <c r="AC22" s="9" t="str">
        <f aca="false">IF(AB22=0,"",SUMPRODUCT(R22:AA22,'Настройки цен'!$B$11:$K$11,'Настройки цен'!$B$12:$K$12)/AB22)</f>
        <v/>
      </c>
      <c r="AD22" s="10"/>
      <c r="AE22" s="11" t="n">
        <f aca="false">IF(AD22&lt;&gt;"",AD22,IFERROR(IF(INDEX('Настройки цен'!$B$17:$B$24,MATCH(E22,'Настройки цен'!$A$17:$A$24,0))="",'Настройки цен'!$B$5,INDEX('Настройки цен'!$B$17:$B$24,MATCH(E22,'Настройки цен'!$A$17:$A$24,0))),'Настройки цен'!$B$5))</f>
        <v>0</v>
      </c>
      <c r="AF22" s="9" t="str">
        <f aca="false">IF(AC22="","",ROUND(AC22*(1+AE22)/'Настройки цен'!$B$6,0)*'Настройки цен'!$B$6)</f>
        <v/>
      </c>
      <c r="AG22" s="12" t="str">
        <f aca="false">IF(OR(AC22="",H22=""),"",H22/AC22-1)</f>
        <v/>
      </c>
      <c r="AH22" s="7"/>
    </row>
    <row r="23" customFormat="false" ht="15.75" hidden="false" customHeight="true" outlineLevel="0" collapsed="false">
      <c r="A23" s="3" t="n">
        <v>4171002060</v>
      </c>
      <c r="B23" s="3" t="s">
        <v>81</v>
      </c>
      <c r="D23" s="3" t="s">
        <v>82</v>
      </c>
      <c r="E23" s="3" t="s">
        <v>70</v>
      </c>
      <c r="F23" s="4"/>
      <c r="G23" s="5"/>
      <c r="H23" s="5" t="n">
        <v>20000</v>
      </c>
      <c r="I23" s="3" t="n">
        <v>3</v>
      </c>
      <c r="K23" s="6" t="n">
        <f aca="false">I23-J23</f>
        <v>3</v>
      </c>
      <c r="L23" s="5" t="n">
        <f aca="false">K23*H23</f>
        <v>60000</v>
      </c>
      <c r="M23" s="5" t="n">
        <f aca="false">IF(A23="","",H23*J23)</f>
        <v>0</v>
      </c>
      <c r="N23" s="5" t="n">
        <f aca="false">IF(A23="","",G23*J23)</f>
        <v>0</v>
      </c>
      <c r="O23" s="5" t="n">
        <f aca="false">IF(A23="","",M23-N23)</f>
        <v>0</v>
      </c>
      <c r="Q23" s="7" t="s">
        <v>83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7" t="n">
        <f aca="false">SUMPRODUCT(--(R23:AA23&gt;0),'Настройки цен'!$B$12:$K$12)</f>
        <v>0</v>
      </c>
      <c r="AC23" s="9" t="str">
        <f aca="false">IF(AB23=0,"",SUMPRODUCT(R23:AA23,'Настройки цен'!$B$11:$K$11,'Настройки цен'!$B$12:$K$12)/AB23)</f>
        <v/>
      </c>
      <c r="AD23" s="10"/>
      <c r="AE23" s="11" t="n">
        <f aca="false">IF(AD23&lt;&gt;"",AD23,IFERROR(IF(INDEX('Настройки цен'!$B$17:$B$24,MATCH(E23,'Настройки цен'!$A$17:$A$24,0))="",'Настройки цен'!$B$5,INDEX('Настройки цен'!$B$17:$B$24,MATCH(E23,'Настройки цен'!$A$17:$A$24,0))),'Настройки цен'!$B$5))</f>
        <v>0</v>
      </c>
      <c r="AF23" s="9" t="str">
        <f aca="false">IF(AC23="","",ROUND(AC23*(1+AE23)/'Настройки цен'!$B$6,0)*'Настройки цен'!$B$6)</f>
        <v/>
      </c>
      <c r="AG23" s="12" t="str">
        <f aca="false">IF(OR(AC23="",H23=""),"",H23/AC23-1)</f>
        <v/>
      </c>
      <c r="AH23" s="7"/>
    </row>
    <row r="24" customFormat="false" ht="15.75" hidden="false" customHeight="true" outlineLevel="0" collapsed="false">
      <c r="A24" s="3" t="s">
        <v>84</v>
      </c>
      <c r="B24" s="3" t="s">
        <v>85</v>
      </c>
      <c r="D24" s="3" t="s">
        <v>41</v>
      </c>
      <c r="E24" s="3" t="s">
        <v>55</v>
      </c>
      <c r="F24" s="4"/>
      <c r="G24" s="5"/>
      <c r="H24" s="5" t="n">
        <v>5000</v>
      </c>
      <c r="I24" s="3" t="n">
        <v>17</v>
      </c>
      <c r="K24" s="6" t="n">
        <f aca="false">I24-J24</f>
        <v>17</v>
      </c>
      <c r="L24" s="5" t="n">
        <f aca="false">K24*H24</f>
        <v>85000</v>
      </c>
      <c r="M24" s="5" t="n">
        <f aca="false">IF(A24="","",H24*J24)</f>
        <v>0</v>
      </c>
      <c r="N24" s="5" t="n">
        <f aca="false">IF(A24="","",G24*J24)</f>
        <v>0</v>
      </c>
      <c r="O24" s="5" t="n">
        <f aca="false">IF(A24="","",M24-N24)</f>
        <v>0</v>
      </c>
      <c r="Q24" s="7" t="s">
        <v>84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7" t="n">
        <f aca="false">SUMPRODUCT(--(R24:AA24&gt;0),'Настройки цен'!$B$12:$K$12)</f>
        <v>0</v>
      </c>
      <c r="AC24" s="9" t="str">
        <f aca="false">IF(AB24=0,"",SUMPRODUCT(R24:AA24,'Настройки цен'!$B$11:$K$11,'Настройки цен'!$B$12:$K$12)/AB24)</f>
        <v/>
      </c>
      <c r="AD24" s="10"/>
      <c r="AE24" s="11" t="n">
        <f aca="false">IF(AD24&lt;&gt;"",AD24,IFERROR(IF(INDEX('Настройки цен'!$B$17:$B$24,MATCH(E24,'Настройки цен'!$A$17:$A$24,0))="",'Настройки цен'!$B$5,INDEX('Настройки цен'!$B$17:$B$24,MATCH(E24,'Настройки цен'!$A$17:$A$24,0))),'Настройки цен'!$B$5))</f>
        <v>0</v>
      </c>
      <c r="AF24" s="9" t="str">
        <f aca="false">IF(AC24="","",ROUND(AC24*(1+AE24)/'Настройки цен'!$B$6,0)*'Настройки цен'!$B$6)</f>
        <v/>
      </c>
      <c r="AG24" s="12" t="str">
        <f aca="false">IF(OR(AC24="",H24=""),"",H24/AC24-1)</f>
        <v/>
      </c>
      <c r="AH24" s="7"/>
    </row>
    <row r="25" customFormat="false" ht="15.75" hidden="false" customHeight="true" outlineLevel="0" collapsed="false">
      <c r="A25" s="3" t="s">
        <v>86</v>
      </c>
      <c r="B25" s="3" t="s">
        <v>87</v>
      </c>
      <c r="D25" s="3" t="s">
        <v>35</v>
      </c>
      <c r="E25" s="3" t="s">
        <v>55</v>
      </c>
      <c r="F25" s="4"/>
      <c r="G25" s="5"/>
      <c r="H25" s="5" t="n">
        <v>6000</v>
      </c>
      <c r="I25" s="3" t="n">
        <v>2</v>
      </c>
      <c r="K25" s="6" t="n">
        <f aca="false">I25-J25</f>
        <v>2</v>
      </c>
      <c r="L25" s="5" t="n">
        <f aca="false">K25*H25</f>
        <v>12000</v>
      </c>
      <c r="M25" s="5" t="n">
        <f aca="false">IF(A25="","",H25*J25)</f>
        <v>0</v>
      </c>
      <c r="N25" s="5" t="n">
        <f aca="false">IF(A25="","",G25*J25)</f>
        <v>0</v>
      </c>
      <c r="O25" s="5" t="n">
        <f aca="false">IF(A25="","",M25-N25)</f>
        <v>0</v>
      </c>
      <c r="Q25" s="7" t="s">
        <v>86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7" t="n">
        <f aca="false">SUMPRODUCT(--(R25:AA25&gt;0),'Настройки цен'!$B$12:$K$12)</f>
        <v>0</v>
      </c>
      <c r="AC25" s="9" t="str">
        <f aca="false">IF(AB25=0,"",SUMPRODUCT(R25:AA25,'Настройки цен'!$B$11:$K$11,'Настройки цен'!$B$12:$K$12)/AB25)</f>
        <v/>
      </c>
      <c r="AD25" s="10"/>
      <c r="AE25" s="11" t="n">
        <f aca="false">IF(AD25&lt;&gt;"",AD25,IFERROR(IF(INDEX('Настройки цен'!$B$17:$B$24,MATCH(E25,'Настройки цен'!$A$17:$A$24,0))="",'Настройки цен'!$B$5,INDEX('Настройки цен'!$B$17:$B$24,MATCH(E25,'Настройки цен'!$A$17:$A$24,0))),'Настройки цен'!$B$5))</f>
        <v>0</v>
      </c>
      <c r="AF25" s="9" t="str">
        <f aca="false">IF(AC25="","",ROUND(AC25*(1+AE25)/'Настройки цен'!$B$6,0)*'Настройки цен'!$B$6)</f>
        <v/>
      </c>
      <c r="AG25" s="12" t="str">
        <f aca="false">IF(OR(AC25="",H25=""),"",H25/AC25-1)</f>
        <v/>
      </c>
      <c r="AH25" s="7"/>
    </row>
    <row r="26" customFormat="false" ht="15.75" hidden="false" customHeight="true" outlineLevel="0" collapsed="false">
      <c r="B26" s="3" t="s">
        <v>88</v>
      </c>
      <c r="D26" s="3" t="s">
        <v>41</v>
      </c>
      <c r="E26" s="3" t="s">
        <v>55</v>
      </c>
      <c r="F26" s="4"/>
      <c r="G26" s="5"/>
      <c r="H26" s="5" t="n">
        <v>40000</v>
      </c>
      <c r="I26" s="3" t="n">
        <v>4</v>
      </c>
      <c r="K26" s="6" t="n">
        <f aca="false">I26-J26</f>
        <v>4</v>
      </c>
      <c r="L26" s="5" t="n">
        <f aca="false">K26*H26</f>
        <v>160000</v>
      </c>
      <c r="M26" s="5" t="str">
        <f aca="false">IF(A26="","",H26*J26)</f>
        <v/>
      </c>
      <c r="N26" s="5" t="str">
        <f aca="false">IF(A26="","",G26*J26)</f>
        <v/>
      </c>
      <c r="O26" s="5" t="str">
        <f aca="false">IF(A26="","",M26-N26)</f>
        <v/>
      </c>
      <c r="Q26" s="7"/>
      <c r="R26" s="8"/>
      <c r="S26" s="8"/>
      <c r="T26" s="8"/>
      <c r="U26" s="8"/>
      <c r="V26" s="8"/>
      <c r="W26" s="8"/>
      <c r="X26" s="8"/>
      <c r="Y26" s="8"/>
      <c r="Z26" s="8"/>
      <c r="AA26" s="8"/>
      <c r="AB26" s="7" t="n">
        <f aca="false">SUMPRODUCT(--(R26:AA26&gt;0),'Настройки цен'!$B$12:$K$12)</f>
        <v>0</v>
      </c>
      <c r="AC26" s="9" t="str">
        <f aca="false">IF(AB26=0,"",SUMPRODUCT(R26:AA26,'Настройки цен'!$B$11:$K$11,'Настройки цен'!$B$12:$K$12)/AB26)</f>
        <v/>
      </c>
      <c r="AD26" s="10"/>
      <c r="AE26" s="11" t="n">
        <f aca="false">IF(AD26&lt;&gt;"",AD26,IFERROR(IF(INDEX('Настройки цен'!$B$17:$B$24,MATCH(E26,'Настройки цен'!$A$17:$A$24,0))="",'Настройки цен'!$B$5,INDEX('Настройки цен'!$B$17:$B$24,MATCH(E26,'Настройки цен'!$A$17:$A$24,0))),'Настройки цен'!$B$5))</f>
        <v>0</v>
      </c>
      <c r="AF26" s="9" t="str">
        <f aca="false">IF(AC26="","",ROUND(AC26*(1+AE26)/'Настройки цен'!$B$6,0)*'Настройки цен'!$B$6)</f>
        <v/>
      </c>
      <c r="AG26" s="12" t="str">
        <f aca="false">IF(OR(AC26="",H26=""),"",H26/AC26-1)</f>
        <v/>
      </c>
      <c r="AH26" s="7"/>
    </row>
    <row r="27" customFormat="false" ht="15.75" hidden="false" customHeight="true" outlineLevel="0" collapsed="false">
      <c r="A27" s="3" t="n">
        <v>4511701120</v>
      </c>
      <c r="B27" s="3" t="s">
        <v>89</v>
      </c>
      <c r="D27" s="3" t="s">
        <v>41</v>
      </c>
      <c r="E27" s="3" t="s">
        <v>55</v>
      </c>
      <c r="F27" s="4"/>
      <c r="G27" s="5"/>
      <c r="H27" s="5" t="n">
        <v>12000</v>
      </c>
      <c r="I27" s="3" t="n">
        <v>1</v>
      </c>
      <c r="K27" s="6" t="n">
        <f aca="false">I27-J27</f>
        <v>1</v>
      </c>
      <c r="L27" s="5" t="n">
        <f aca="false">K27*H27</f>
        <v>12000</v>
      </c>
      <c r="M27" s="5" t="n">
        <f aca="false">IF(A27="","",H27*J27)</f>
        <v>0</v>
      </c>
      <c r="N27" s="5" t="n">
        <f aca="false">IF(A27="","",G27*J27)</f>
        <v>0</v>
      </c>
      <c r="O27" s="5" t="n">
        <f aca="false">IF(A27="","",M27-N27)</f>
        <v>0</v>
      </c>
      <c r="Q27" s="7" t="s">
        <v>90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7" t="n">
        <f aca="false">SUMPRODUCT(--(R27:AA27&gt;0),'Настройки цен'!$B$12:$K$12)</f>
        <v>0</v>
      </c>
      <c r="AC27" s="9" t="str">
        <f aca="false">IF(AB27=0,"",SUMPRODUCT(R27:AA27,'Настройки цен'!$B$11:$K$11,'Настройки цен'!$B$12:$K$12)/AB27)</f>
        <v/>
      </c>
      <c r="AD27" s="10"/>
      <c r="AE27" s="11" t="n">
        <f aca="false">IF(AD27&lt;&gt;"",AD27,IFERROR(IF(INDEX('Настройки цен'!$B$17:$B$24,MATCH(E27,'Настройки цен'!$A$17:$A$24,0))="",'Настройки цен'!$B$5,INDEX('Настройки цен'!$B$17:$B$24,MATCH(E27,'Настройки цен'!$A$17:$A$24,0))),'Настройки цен'!$B$5))</f>
        <v>0</v>
      </c>
      <c r="AF27" s="9" t="str">
        <f aca="false">IF(AC27="","",ROUND(AC27*(1+AE27)/'Настройки цен'!$B$6,0)*'Настройки цен'!$B$6)</f>
        <v/>
      </c>
      <c r="AG27" s="12" t="str">
        <f aca="false">IF(OR(AC27="",H27=""),"",H27/AC27-1)</f>
        <v/>
      </c>
      <c r="AH27" s="7"/>
    </row>
    <row r="28" customFormat="false" ht="15.75" hidden="false" customHeight="true" outlineLevel="0" collapsed="false">
      <c r="A28" s="3" t="n">
        <v>4691701127</v>
      </c>
      <c r="B28" s="3" t="s">
        <v>91</v>
      </c>
      <c r="D28" s="3" t="s">
        <v>41</v>
      </c>
      <c r="E28" s="3" t="s">
        <v>55</v>
      </c>
      <c r="F28" s="4"/>
      <c r="G28" s="5"/>
      <c r="H28" s="5" t="n">
        <v>15000</v>
      </c>
      <c r="I28" s="3" t="n">
        <v>4</v>
      </c>
      <c r="K28" s="6" t="n">
        <f aca="false">I28-J28</f>
        <v>4</v>
      </c>
      <c r="L28" s="5" t="n">
        <f aca="false">K28*H28</f>
        <v>60000</v>
      </c>
      <c r="M28" s="5" t="n">
        <f aca="false">IF(A28="","",H28*J28)</f>
        <v>0</v>
      </c>
      <c r="N28" s="5" t="n">
        <f aca="false">IF(A28="","",G28*J28)</f>
        <v>0</v>
      </c>
      <c r="O28" s="5" t="n">
        <f aca="false">IF(A28="","",M28-N28)</f>
        <v>0</v>
      </c>
      <c r="Q28" s="7" t="s">
        <v>92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7" t="n">
        <f aca="false">SUMPRODUCT(--(R28:AA28&gt;0),'Настройки цен'!$B$12:$K$12)</f>
        <v>0</v>
      </c>
      <c r="AC28" s="9" t="str">
        <f aca="false">IF(AB28=0,"",SUMPRODUCT(R28:AA28,'Настройки цен'!$B$11:$K$11,'Настройки цен'!$B$12:$K$12)/AB28)</f>
        <v/>
      </c>
      <c r="AD28" s="10"/>
      <c r="AE28" s="11" t="n">
        <f aca="false">IF(AD28&lt;&gt;"",AD28,IFERROR(IF(INDEX('Настройки цен'!$B$17:$B$24,MATCH(E28,'Настройки цен'!$A$17:$A$24,0))="",'Настройки цен'!$B$5,INDEX('Настройки цен'!$B$17:$B$24,MATCH(E28,'Настройки цен'!$A$17:$A$24,0))),'Настройки цен'!$B$5))</f>
        <v>0</v>
      </c>
      <c r="AF28" s="9" t="str">
        <f aca="false">IF(AC28="","",ROUND(AC28*(1+AE28)/'Настройки цен'!$B$6,0)*'Настройки цен'!$B$6)</f>
        <v/>
      </c>
      <c r="AG28" s="12" t="str">
        <f aca="false">IF(OR(AC28="",H28=""),"",H28/AC28-1)</f>
        <v/>
      </c>
      <c r="AH28" s="7"/>
    </row>
    <row r="29" customFormat="false" ht="15.75" hidden="false" customHeight="true" outlineLevel="0" collapsed="false">
      <c r="A29" s="3" t="n">
        <v>45150170111200</v>
      </c>
      <c r="B29" s="3" t="s">
        <v>93</v>
      </c>
      <c r="D29" s="3" t="s">
        <v>41</v>
      </c>
      <c r="E29" s="3" t="s">
        <v>55</v>
      </c>
      <c r="F29" s="4"/>
      <c r="G29" s="5"/>
      <c r="H29" s="5" t="n">
        <v>8000</v>
      </c>
      <c r="I29" s="3" t="n">
        <v>2</v>
      </c>
      <c r="K29" s="6" t="n">
        <f aca="false">I29-J29</f>
        <v>2</v>
      </c>
      <c r="L29" s="5" t="n">
        <f aca="false">K29*H29</f>
        <v>16000</v>
      </c>
      <c r="M29" s="5" t="n">
        <f aca="false">IF(A29="","",H29*J29)</f>
        <v>0</v>
      </c>
      <c r="N29" s="5" t="n">
        <f aca="false">IF(A29="","",G29*J29)</f>
        <v>0</v>
      </c>
      <c r="O29" s="5" t="n">
        <f aca="false">IF(A29="","",M29-N29)</f>
        <v>0</v>
      </c>
      <c r="Q29" s="7" t="s">
        <v>94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7" t="n">
        <f aca="false">SUMPRODUCT(--(R29:AA29&gt;0),'Настройки цен'!$B$12:$K$12)</f>
        <v>0</v>
      </c>
      <c r="AC29" s="9" t="str">
        <f aca="false">IF(AB29=0,"",SUMPRODUCT(R29:AA29,'Настройки цен'!$B$11:$K$11,'Настройки цен'!$B$12:$K$12)/AB29)</f>
        <v/>
      </c>
      <c r="AD29" s="10"/>
      <c r="AE29" s="11" t="n">
        <f aca="false">IF(AD29&lt;&gt;"",AD29,IFERROR(IF(INDEX('Настройки цен'!$B$17:$B$24,MATCH(E29,'Настройки цен'!$A$17:$A$24,0))="",'Настройки цен'!$B$5,INDEX('Настройки цен'!$B$17:$B$24,MATCH(E29,'Настройки цен'!$A$17:$A$24,0))),'Настройки цен'!$B$5))</f>
        <v>0</v>
      </c>
      <c r="AF29" s="9" t="str">
        <f aca="false">IF(AC29="","",ROUND(AC29*(1+AE29)/'Настройки цен'!$B$6,0)*'Настройки цен'!$B$6)</f>
        <v/>
      </c>
      <c r="AG29" s="12" t="str">
        <f aca="false">IF(OR(AC29="",H29=""),"",H29/AC29-1)</f>
        <v/>
      </c>
      <c r="AH29" s="7"/>
    </row>
    <row r="30" customFormat="false" ht="15.75" hidden="false" customHeight="true" outlineLevel="0" collapsed="false">
      <c r="A30" s="3" t="n">
        <v>61121168</v>
      </c>
      <c r="B30" s="3" t="s">
        <v>95</v>
      </c>
      <c r="D30" s="3" t="s">
        <v>41</v>
      </c>
      <c r="E30" s="3" t="s">
        <v>55</v>
      </c>
      <c r="F30" s="4"/>
      <c r="G30" s="5"/>
      <c r="H30" s="5" t="n">
        <v>500</v>
      </c>
      <c r="I30" s="3" t="n">
        <v>5</v>
      </c>
      <c r="K30" s="6" t="n">
        <f aca="false">I30-J30</f>
        <v>5</v>
      </c>
      <c r="L30" s="5" t="n">
        <f aca="false">K30*H30</f>
        <v>2500</v>
      </c>
      <c r="M30" s="5" t="n">
        <f aca="false">IF(A30="","",H30*J30)</f>
        <v>0</v>
      </c>
      <c r="N30" s="5" t="n">
        <f aca="false">IF(A30="","",G30*J30)</f>
        <v>0</v>
      </c>
      <c r="O30" s="5" t="n">
        <f aca="false">IF(A30="","",M30-N30)</f>
        <v>0</v>
      </c>
      <c r="Q30" s="7" t="s">
        <v>96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7" t="n">
        <f aca="false">SUMPRODUCT(--(R30:AA30&gt;0),'Настройки цен'!$B$12:$K$12)</f>
        <v>0</v>
      </c>
      <c r="AC30" s="9" t="str">
        <f aca="false">IF(AB30=0,"",SUMPRODUCT(R30:AA30,'Настройки цен'!$B$11:$K$11,'Настройки цен'!$B$12:$K$12)/AB30)</f>
        <v/>
      </c>
      <c r="AD30" s="10"/>
      <c r="AE30" s="11" t="n">
        <f aca="false">IF(AD30&lt;&gt;"",AD30,IFERROR(IF(INDEX('Настройки цен'!$B$17:$B$24,MATCH(E30,'Настройки цен'!$A$17:$A$24,0))="",'Настройки цен'!$B$5,INDEX('Настройки цен'!$B$17:$B$24,MATCH(E30,'Настройки цен'!$A$17:$A$24,0))),'Настройки цен'!$B$5))</f>
        <v>0</v>
      </c>
      <c r="AF30" s="9" t="str">
        <f aca="false">IF(AC30="","",ROUND(AC30*(1+AE30)/'Настройки цен'!$B$6,0)*'Настройки цен'!$B$6)</f>
        <v/>
      </c>
      <c r="AG30" s="12" t="str">
        <f aca="false">IF(OR(AC30="",H30=""),"",H30/AC30-1)</f>
        <v/>
      </c>
      <c r="AH30" s="7"/>
    </row>
    <row r="31" customFormat="false" ht="15.75" hidden="false" customHeight="true" outlineLevel="0" collapsed="false">
      <c r="A31" s="3" t="n">
        <v>3207</v>
      </c>
      <c r="B31" s="3" t="s">
        <v>97</v>
      </c>
      <c r="D31" s="3" t="s">
        <v>41</v>
      </c>
      <c r="E31" s="3" t="s">
        <v>55</v>
      </c>
      <c r="F31" s="4"/>
      <c r="G31" s="5"/>
      <c r="H31" s="5" t="n">
        <v>5000</v>
      </c>
      <c r="I31" s="3" t="n">
        <v>4</v>
      </c>
      <c r="K31" s="6" t="n">
        <f aca="false">I31-J31</f>
        <v>4</v>
      </c>
      <c r="L31" s="5" t="n">
        <f aca="false">K31*H31</f>
        <v>20000</v>
      </c>
      <c r="M31" s="5" t="n">
        <f aca="false">IF(A31="","",H31*J31)</f>
        <v>0</v>
      </c>
      <c r="N31" s="5" t="n">
        <f aca="false">IF(A31="","",G31*J31)</f>
        <v>0</v>
      </c>
      <c r="O31" s="5" t="n">
        <f aca="false">IF(A31="","",M31-N31)</f>
        <v>0</v>
      </c>
      <c r="Q31" s="7" t="s">
        <v>98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7" t="n">
        <f aca="false">SUMPRODUCT(--(R31:AA31&gt;0),'Настройки цен'!$B$12:$K$12)</f>
        <v>0</v>
      </c>
      <c r="AC31" s="9" t="str">
        <f aca="false">IF(AB31=0,"",SUMPRODUCT(R31:AA31,'Настройки цен'!$B$11:$K$11,'Настройки цен'!$B$12:$K$12)/AB31)</f>
        <v/>
      </c>
      <c r="AD31" s="10"/>
      <c r="AE31" s="11" t="n">
        <f aca="false">IF(AD31&lt;&gt;"",AD31,IFERROR(IF(INDEX('Настройки цен'!$B$17:$B$24,MATCH(E31,'Настройки цен'!$A$17:$A$24,0))="",'Настройки цен'!$B$5,INDEX('Настройки цен'!$B$17:$B$24,MATCH(E31,'Настройки цен'!$A$17:$A$24,0))),'Настройки цен'!$B$5))</f>
        <v>0</v>
      </c>
      <c r="AF31" s="9" t="str">
        <f aca="false">IF(AC31="","",ROUND(AC31*(1+AE31)/'Настройки цен'!$B$6,0)*'Настройки цен'!$B$6)</f>
        <v/>
      </c>
      <c r="AG31" s="12" t="str">
        <f aca="false">IF(OR(AC31="",H31=""),"",H31/AC31-1)</f>
        <v/>
      </c>
      <c r="AH31" s="7"/>
    </row>
    <row r="32" customFormat="false" ht="15.75" hidden="false" customHeight="true" outlineLevel="0" collapsed="false">
      <c r="A32" s="3" t="n">
        <v>4691701134</v>
      </c>
      <c r="B32" s="3" t="s">
        <v>99</v>
      </c>
      <c r="D32" s="3" t="s">
        <v>41</v>
      </c>
      <c r="E32" s="3" t="s">
        <v>55</v>
      </c>
      <c r="F32" s="4"/>
      <c r="G32" s="5"/>
      <c r="H32" s="5" t="n">
        <v>25000</v>
      </c>
      <c r="I32" s="3" t="n">
        <v>1</v>
      </c>
      <c r="K32" s="6" t="n">
        <f aca="false">I32-J32</f>
        <v>1</v>
      </c>
      <c r="L32" s="5" t="n">
        <f aca="false">K32*H32</f>
        <v>25000</v>
      </c>
      <c r="M32" s="5" t="n">
        <f aca="false">IF(A32="","",H32*J32)</f>
        <v>0</v>
      </c>
      <c r="N32" s="5" t="n">
        <f aca="false">IF(A32="","",G32*J32)</f>
        <v>0</v>
      </c>
      <c r="O32" s="5" t="n">
        <f aca="false">IF(A32="","",M32-N32)</f>
        <v>0</v>
      </c>
      <c r="Q32" s="7" t="s">
        <v>100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7" t="n">
        <f aca="false">SUMPRODUCT(--(R32:AA32&gt;0),'Настройки цен'!$B$12:$K$12)</f>
        <v>0</v>
      </c>
      <c r="AC32" s="9" t="str">
        <f aca="false">IF(AB32=0,"",SUMPRODUCT(R32:AA32,'Настройки цен'!$B$11:$K$11,'Настройки цен'!$B$12:$K$12)/AB32)</f>
        <v/>
      </c>
      <c r="AD32" s="10"/>
      <c r="AE32" s="11" t="n">
        <f aca="false">IF(AD32&lt;&gt;"",AD32,IFERROR(IF(INDEX('Настройки цен'!$B$17:$B$24,MATCH(E32,'Настройки цен'!$A$17:$A$24,0))="",'Настройки цен'!$B$5,INDEX('Настройки цен'!$B$17:$B$24,MATCH(E32,'Настройки цен'!$A$17:$A$24,0))),'Настройки цен'!$B$5))</f>
        <v>0</v>
      </c>
      <c r="AF32" s="9" t="str">
        <f aca="false">IF(AC32="","",ROUND(AC32*(1+AE32)/'Настройки цен'!$B$6,0)*'Настройки цен'!$B$6)</f>
        <v/>
      </c>
      <c r="AG32" s="12" t="str">
        <f aca="false">IF(OR(AC32="",H32=""),"",H32/AC32-1)</f>
        <v/>
      </c>
      <c r="AH32" s="7"/>
    </row>
    <row r="33" customFormat="false" ht="15.75" hidden="false" customHeight="true" outlineLevel="0" collapsed="false">
      <c r="A33" s="3" t="n">
        <v>4691701116</v>
      </c>
      <c r="B33" s="3" t="s">
        <v>101</v>
      </c>
      <c r="D33" s="3" t="s">
        <v>41</v>
      </c>
      <c r="E33" s="3" t="s">
        <v>55</v>
      </c>
      <c r="F33" s="4"/>
      <c r="G33" s="5"/>
      <c r="H33" s="5" t="n">
        <v>25000</v>
      </c>
      <c r="I33" s="3" t="n">
        <v>1</v>
      </c>
      <c r="K33" s="6" t="n">
        <f aca="false">I33-J33</f>
        <v>1</v>
      </c>
      <c r="L33" s="5" t="n">
        <f aca="false">K33*H33</f>
        <v>25000</v>
      </c>
      <c r="M33" s="5" t="n">
        <f aca="false">IF(A33="","",H33*J33)</f>
        <v>0</v>
      </c>
      <c r="N33" s="5" t="n">
        <f aca="false">IF(A33="","",G33*J33)</f>
        <v>0</v>
      </c>
      <c r="O33" s="5" t="n">
        <f aca="false">IF(A33="","",M33-N33)</f>
        <v>0</v>
      </c>
      <c r="Q33" s="7" t="s">
        <v>102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7" t="n">
        <f aca="false">SUMPRODUCT(--(R33:AA33&gt;0),'Настройки цен'!$B$12:$K$12)</f>
        <v>0</v>
      </c>
      <c r="AC33" s="9" t="str">
        <f aca="false">IF(AB33=0,"",SUMPRODUCT(R33:AA33,'Настройки цен'!$B$11:$K$11,'Настройки цен'!$B$12:$K$12)/AB33)</f>
        <v/>
      </c>
      <c r="AD33" s="10"/>
      <c r="AE33" s="11" t="n">
        <f aca="false">IF(AD33&lt;&gt;"",AD33,IFERROR(IF(INDEX('Настройки цен'!$B$17:$B$24,MATCH(E33,'Настройки цен'!$A$17:$A$24,0))="",'Настройки цен'!$B$5,INDEX('Настройки цен'!$B$17:$B$24,MATCH(E33,'Настройки цен'!$A$17:$A$24,0))),'Настройки цен'!$B$5))</f>
        <v>0</v>
      </c>
      <c r="AF33" s="9" t="str">
        <f aca="false">IF(AC33="","",ROUND(AC33*(1+AE33)/'Настройки цен'!$B$6,0)*'Настройки цен'!$B$6)</f>
        <v/>
      </c>
      <c r="AG33" s="12" t="str">
        <f aca="false">IF(OR(AC33="",H33=""),"",H33/AC33-1)</f>
        <v/>
      </c>
      <c r="AH33" s="7"/>
    </row>
    <row r="34" customFormat="false" ht="15.75" hidden="false" customHeight="true" outlineLevel="0" collapsed="false">
      <c r="A34" s="3" t="n">
        <v>3102220102522</v>
      </c>
      <c r="B34" s="3" t="s">
        <v>103</v>
      </c>
      <c r="D34" s="3" t="s">
        <v>82</v>
      </c>
      <c r="E34" s="3" t="s">
        <v>55</v>
      </c>
      <c r="F34" s="4"/>
      <c r="G34" s="5"/>
      <c r="H34" s="5" t="n">
        <v>10000</v>
      </c>
      <c r="I34" s="3" t="n">
        <v>28</v>
      </c>
      <c r="K34" s="6" t="n">
        <f aca="false">I34-J34</f>
        <v>28</v>
      </c>
      <c r="L34" s="5" t="n">
        <f aca="false">K34*H34</f>
        <v>280000</v>
      </c>
      <c r="M34" s="5" t="n">
        <f aca="false">IF(A34="","",H34*J34)</f>
        <v>0</v>
      </c>
      <c r="N34" s="5" t="n">
        <f aca="false">IF(A34="","",G34*J34)</f>
        <v>0</v>
      </c>
      <c r="O34" s="5" t="n">
        <f aca="false">IF(A34="","",M34-N34)</f>
        <v>0</v>
      </c>
      <c r="Q34" s="7" t="s">
        <v>104</v>
      </c>
      <c r="R34" s="8"/>
      <c r="S34" s="8"/>
      <c r="T34" s="8"/>
      <c r="U34" s="8"/>
      <c r="V34" s="8" t="n">
        <v>664</v>
      </c>
      <c r="W34" s="8"/>
      <c r="X34" s="8"/>
      <c r="Y34" s="8"/>
      <c r="Z34" s="8"/>
      <c r="AA34" s="8"/>
      <c r="AB34" s="7" t="n">
        <f aca="false">SUMPRODUCT(--(R34:AA34&gt;0),'Настройки цен'!$B$12:$K$12)</f>
        <v>1</v>
      </c>
      <c r="AC34" s="9" t="n">
        <f aca="false">IF(AB34=0,"",SUMPRODUCT(R34:AA34,'Настройки цен'!$B$11:$K$11,'Настройки цен'!$B$12:$K$12)/AB34)</f>
        <v>3519.2</v>
      </c>
      <c r="AD34" s="10"/>
      <c r="AE34" s="11" t="n">
        <f aca="false">IF(AD34&lt;&gt;"",AD34,IFERROR(IF(INDEX('Настройки цен'!$B$17:$B$24,MATCH(E34,'Настройки цен'!$A$17:$A$24,0))="",'Настройки цен'!$B$5,INDEX('Настройки цен'!$B$17:$B$24,MATCH(E34,'Настройки цен'!$A$17:$A$24,0))),'Настройки цен'!$B$5))</f>
        <v>0</v>
      </c>
      <c r="AF34" s="9" t="n">
        <f aca="false">IF(AC34="","",ROUND(AC34*(1+AE34)/'Настройки цен'!$B$6,0)*'Настройки цен'!$B$6)</f>
        <v>3500</v>
      </c>
      <c r="AG34" s="12" t="n">
        <f aca="false">IF(OR(AC34="",H34=""),"",H34/AC34-1)</f>
        <v>1.84155489884065</v>
      </c>
      <c r="AH34" s="7" t="s">
        <v>105</v>
      </c>
    </row>
    <row r="35" customFormat="false" ht="15.75" hidden="false" customHeight="true" outlineLevel="0" collapsed="false">
      <c r="A35" s="3" t="n">
        <v>452002304112</v>
      </c>
      <c r="B35" s="3" t="s">
        <v>106</v>
      </c>
      <c r="D35" s="3" t="s">
        <v>41</v>
      </c>
      <c r="E35" s="3" t="s">
        <v>55</v>
      </c>
      <c r="F35" s="4"/>
      <c r="G35" s="5"/>
      <c r="H35" s="5" t="n">
        <v>13000</v>
      </c>
      <c r="I35" s="3" t="n">
        <v>5</v>
      </c>
      <c r="K35" s="6" t="n">
        <f aca="false">I35-J35</f>
        <v>5</v>
      </c>
      <c r="L35" s="5" t="n">
        <f aca="false">K35*H35</f>
        <v>65000</v>
      </c>
      <c r="M35" s="5" t="n">
        <f aca="false">IF(A35="","",H35*J35)</f>
        <v>0</v>
      </c>
      <c r="N35" s="5" t="n">
        <f aca="false">IF(A35="","",G35*J35)</f>
        <v>0</v>
      </c>
      <c r="O35" s="5" t="n">
        <f aca="false">IF(A35="","",M35-N35)</f>
        <v>0</v>
      </c>
      <c r="Q35" s="7" t="s">
        <v>107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7" t="n">
        <f aca="false">SUMPRODUCT(--(R35:AA35&gt;0),'Настройки цен'!$B$12:$K$12)</f>
        <v>0</v>
      </c>
      <c r="AC35" s="9" t="str">
        <f aca="false">IF(AB35=0,"",SUMPRODUCT(R35:AA35,'Настройки цен'!$B$11:$K$11,'Настройки цен'!$B$12:$K$12)/AB35)</f>
        <v/>
      </c>
      <c r="AD35" s="10"/>
      <c r="AE35" s="11" t="n">
        <f aca="false">IF(AD35&lt;&gt;"",AD35,IFERROR(IF(INDEX('Настройки цен'!$B$17:$B$24,MATCH(E35,'Настройки цен'!$A$17:$A$24,0))="",'Настройки цен'!$B$5,INDEX('Настройки цен'!$B$17:$B$24,MATCH(E35,'Настройки цен'!$A$17:$A$24,0))),'Настройки цен'!$B$5))</f>
        <v>0</v>
      </c>
      <c r="AF35" s="9" t="str">
        <f aca="false">IF(AC35="","",ROUND(AC35*(1+AE35)/'Настройки цен'!$B$6,0)*'Настройки цен'!$B$6)</f>
        <v/>
      </c>
      <c r="AG35" s="12" t="str">
        <f aca="false">IF(OR(AC35="",H35=""),"",H35/AC35-1)</f>
        <v/>
      </c>
      <c r="AH35" s="7"/>
    </row>
    <row r="36" customFormat="false" ht="15.75" hidden="false" customHeight="true" outlineLevel="0" collapsed="false">
      <c r="A36" s="3" t="n">
        <v>315120230440003</v>
      </c>
      <c r="B36" s="3" t="s">
        <v>108</v>
      </c>
      <c r="D36" s="3" t="s">
        <v>41</v>
      </c>
      <c r="E36" s="3" t="s">
        <v>55</v>
      </c>
      <c r="F36" s="4"/>
      <c r="G36" s="5"/>
      <c r="H36" s="5" t="n">
        <v>20000</v>
      </c>
      <c r="I36" s="3" t="n">
        <v>2</v>
      </c>
      <c r="K36" s="6" t="n">
        <f aca="false">I36-J36</f>
        <v>2</v>
      </c>
      <c r="L36" s="5" t="n">
        <f aca="false">K36*H36</f>
        <v>40000</v>
      </c>
      <c r="M36" s="5" t="n">
        <f aca="false">IF(A36="","",H36*J36)</f>
        <v>0</v>
      </c>
      <c r="N36" s="5" t="n">
        <f aca="false">IF(A36="","",G36*J36)</f>
        <v>0</v>
      </c>
      <c r="O36" s="5" t="n">
        <f aca="false">IF(A36="","",M36-N36)</f>
        <v>0</v>
      </c>
      <c r="Q36" s="7" t="s">
        <v>109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7" t="n">
        <f aca="false">SUMPRODUCT(--(R36:AA36&gt;0),'Настройки цен'!$B$12:$K$12)</f>
        <v>0</v>
      </c>
      <c r="AC36" s="9" t="str">
        <f aca="false">IF(AB36=0,"",SUMPRODUCT(R36:AA36,'Настройки цен'!$B$11:$K$11,'Настройки цен'!$B$12:$K$12)/AB36)</f>
        <v/>
      </c>
      <c r="AD36" s="10"/>
      <c r="AE36" s="11" t="n">
        <f aca="false">IF(AD36&lt;&gt;"",AD36,IFERROR(IF(INDEX('Настройки цен'!$B$17:$B$24,MATCH(E36,'Настройки цен'!$A$17:$A$24,0))="",'Настройки цен'!$B$5,INDEX('Настройки цен'!$B$17:$B$24,MATCH(E36,'Настройки цен'!$A$17:$A$24,0))),'Настройки цен'!$B$5))</f>
        <v>0</v>
      </c>
      <c r="AF36" s="9" t="str">
        <f aca="false">IF(AC36="","",ROUND(AC36*(1+AE36)/'Настройки цен'!$B$6,0)*'Настройки цен'!$B$6)</f>
        <v/>
      </c>
      <c r="AG36" s="12" t="str">
        <f aca="false">IF(OR(AC36="",H36=""),"",H36/AC36-1)</f>
        <v/>
      </c>
      <c r="AH36" s="7"/>
    </row>
    <row r="37" customFormat="false" ht="15.75" hidden="false" customHeight="true" outlineLevel="0" collapsed="false">
      <c r="A37" s="3" t="n">
        <v>374100380203400</v>
      </c>
      <c r="B37" s="3" t="s">
        <v>110</v>
      </c>
      <c r="D37" s="3" t="s">
        <v>35</v>
      </c>
      <c r="E37" s="3" t="s">
        <v>111</v>
      </c>
      <c r="F37" s="4"/>
      <c r="G37" s="5"/>
      <c r="H37" s="5" t="n">
        <v>7000</v>
      </c>
      <c r="I37" s="3" t="n">
        <v>5</v>
      </c>
      <c r="K37" s="6" t="n">
        <f aca="false">I37-J37</f>
        <v>5</v>
      </c>
      <c r="L37" s="5" t="n">
        <f aca="false">K37*H37</f>
        <v>35000</v>
      </c>
      <c r="M37" s="5" t="n">
        <f aca="false">IF(A37="","",H37*J37)</f>
        <v>0</v>
      </c>
      <c r="N37" s="5" t="n">
        <f aca="false">IF(A37="","",G37*J37)</f>
        <v>0</v>
      </c>
      <c r="O37" s="5" t="n">
        <f aca="false">IF(A37="","",M37-N37)</f>
        <v>0</v>
      </c>
      <c r="Q37" s="7" t="s">
        <v>112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7" t="n">
        <f aca="false">SUMPRODUCT(--(R37:AA37&gt;0),'Настройки цен'!$B$12:$K$12)</f>
        <v>0</v>
      </c>
      <c r="AC37" s="9" t="str">
        <f aca="false">IF(AB37=0,"",SUMPRODUCT(R37:AA37,'Настройки цен'!$B$11:$K$11,'Настройки цен'!$B$12:$K$12)/AB37)</f>
        <v/>
      </c>
      <c r="AD37" s="10"/>
      <c r="AE37" s="11" t="n">
        <f aca="false">IF(AD37&lt;&gt;"",AD37,IFERROR(IF(INDEX('Настройки цен'!$B$17:$B$24,MATCH(E37,'Настройки цен'!$A$17:$A$24,0))="",'Настройки цен'!$B$5,INDEX('Настройки цен'!$B$17:$B$24,MATCH(E37,'Настройки цен'!$A$17:$A$24,0))),'Настройки цен'!$B$5))</f>
        <v>0</v>
      </c>
      <c r="AF37" s="9" t="str">
        <f aca="false">IF(AC37="","",ROUND(AC37*(1+AE37)/'Настройки цен'!$B$6,0)*'Настройки цен'!$B$6)</f>
        <v/>
      </c>
      <c r="AG37" s="12" t="str">
        <f aca="false">IF(OR(AC37="",H37=""),"",H37/AC37-1)</f>
        <v/>
      </c>
      <c r="AH37" s="7"/>
    </row>
    <row r="38" customFormat="false" ht="15.75" hidden="false" customHeight="true" outlineLevel="0" collapsed="false">
      <c r="A38" s="3" t="n">
        <v>33073802034</v>
      </c>
      <c r="B38" s="3" t="s">
        <v>113</v>
      </c>
      <c r="D38" s="3" t="s">
        <v>66</v>
      </c>
      <c r="E38" s="3" t="s">
        <v>111</v>
      </c>
      <c r="F38" s="4"/>
      <c r="G38" s="5"/>
      <c r="H38" s="5" t="n">
        <v>10000</v>
      </c>
      <c r="I38" s="3" t="n">
        <v>5</v>
      </c>
      <c r="K38" s="6" t="n">
        <f aca="false">I38-J38</f>
        <v>5</v>
      </c>
      <c r="L38" s="5" t="n">
        <f aca="false">K38*H38</f>
        <v>50000</v>
      </c>
      <c r="M38" s="5" t="n">
        <f aca="false">IF(A38="","",H38*J38)</f>
        <v>0</v>
      </c>
      <c r="N38" s="5" t="n">
        <f aca="false">IF(A38="","",G38*J38)</f>
        <v>0</v>
      </c>
      <c r="O38" s="5" t="n">
        <f aca="false">IF(A38="","",M38-N38)</f>
        <v>0</v>
      </c>
      <c r="Q38" s="7" t="s">
        <v>114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7" t="n">
        <f aca="false">SUMPRODUCT(--(R38:AA38&gt;0),'Настройки цен'!$B$12:$K$12)</f>
        <v>0</v>
      </c>
      <c r="AC38" s="9" t="str">
        <f aca="false">IF(AB38=0,"",SUMPRODUCT(R38:AA38,'Настройки цен'!$B$11:$K$11,'Настройки цен'!$B$12:$K$12)/AB38)</f>
        <v/>
      </c>
      <c r="AD38" s="10"/>
      <c r="AE38" s="11" t="n">
        <f aca="false">IF(AD38&lt;&gt;"",AD38,IFERROR(IF(INDEX('Настройки цен'!$B$17:$B$24,MATCH(E38,'Настройки цен'!$A$17:$A$24,0))="",'Настройки цен'!$B$5,INDEX('Настройки цен'!$B$17:$B$24,MATCH(E38,'Настройки цен'!$A$17:$A$24,0))),'Настройки цен'!$B$5))</f>
        <v>0</v>
      </c>
      <c r="AF38" s="9" t="str">
        <f aca="false">IF(AC38="","",ROUND(AC38*(1+AE38)/'Настройки цен'!$B$6,0)*'Настройки цен'!$B$6)</f>
        <v/>
      </c>
      <c r="AG38" s="12" t="str">
        <f aca="false">IF(OR(AC38="",H38=""),"",H38/AC38-1)</f>
        <v/>
      </c>
      <c r="AH38" s="7"/>
    </row>
    <row r="39" customFormat="false" ht="15.75" hidden="false" customHeight="true" outlineLevel="0" collapsed="false">
      <c r="A39" s="3" t="n">
        <v>374100170125000</v>
      </c>
      <c r="B39" s="3" t="s">
        <v>115</v>
      </c>
      <c r="D39" s="3" t="s">
        <v>41</v>
      </c>
      <c r="E39" s="3" t="s">
        <v>55</v>
      </c>
      <c r="F39" s="4"/>
      <c r="G39" s="5"/>
      <c r="H39" s="5" t="n">
        <v>22000</v>
      </c>
      <c r="I39" s="3" t="n">
        <v>1</v>
      </c>
      <c r="K39" s="6" t="n">
        <f aca="false">I39-J39</f>
        <v>1</v>
      </c>
      <c r="L39" s="5" t="n">
        <f aca="false">K39*H39</f>
        <v>22000</v>
      </c>
      <c r="M39" s="5" t="n">
        <f aca="false">IF(A39="","",H39*J39)</f>
        <v>0</v>
      </c>
      <c r="N39" s="5" t="n">
        <f aca="false">IF(A39="","",G39*J39)</f>
        <v>0</v>
      </c>
      <c r="O39" s="5" t="n">
        <f aca="false">IF(A39="","",M39-N39)</f>
        <v>0</v>
      </c>
      <c r="Q39" s="7" t="s">
        <v>116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7" t="n">
        <f aca="false">SUMPRODUCT(--(R39:AA39&gt;0),'Настройки цен'!$B$12:$K$12)</f>
        <v>0</v>
      </c>
      <c r="AC39" s="9" t="str">
        <f aca="false">IF(AB39=0,"",SUMPRODUCT(R39:AA39,'Настройки цен'!$B$11:$K$11,'Настройки цен'!$B$12:$K$12)/AB39)</f>
        <v/>
      </c>
      <c r="AD39" s="10"/>
      <c r="AE39" s="11" t="n">
        <f aca="false">IF(AD39&lt;&gt;"",AD39,IFERROR(IF(INDEX('Настройки цен'!$B$17:$B$24,MATCH(E39,'Настройки цен'!$A$17:$A$24,0))="",'Настройки цен'!$B$5,INDEX('Настройки цен'!$B$17:$B$24,MATCH(E39,'Настройки цен'!$A$17:$A$24,0))),'Настройки цен'!$B$5))</f>
        <v>0</v>
      </c>
      <c r="AF39" s="9" t="str">
        <f aca="false">IF(AC39="","",ROUND(AC39*(1+AE39)/'Настройки цен'!$B$6,0)*'Настройки цен'!$B$6)</f>
        <v/>
      </c>
      <c r="AG39" s="12" t="str">
        <f aca="false">IF(OR(AC39="",H39=""),"",H39/AC39-1)</f>
        <v/>
      </c>
      <c r="AH39" s="7"/>
    </row>
    <row r="40" customFormat="false" ht="15.75" hidden="false" customHeight="true" outlineLevel="0" collapsed="false">
      <c r="A40" s="3" t="s">
        <v>117</v>
      </c>
      <c r="B40" s="3" t="s">
        <v>118</v>
      </c>
      <c r="D40" s="3" t="s">
        <v>41</v>
      </c>
      <c r="E40" s="3" t="s">
        <v>55</v>
      </c>
      <c r="F40" s="4"/>
      <c r="G40" s="5"/>
      <c r="H40" s="5" t="n">
        <v>1500</v>
      </c>
      <c r="I40" s="3" t="n">
        <v>17</v>
      </c>
      <c r="K40" s="6" t="n">
        <f aca="false">I40-J40</f>
        <v>17</v>
      </c>
      <c r="L40" s="5" t="n">
        <f aca="false">K40*H40</f>
        <v>25500</v>
      </c>
      <c r="M40" s="5" t="n">
        <f aca="false">IF(A40="","",H40*J40)</f>
        <v>0</v>
      </c>
      <c r="N40" s="5" t="n">
        <f aca="false">IF(A40="","",G40*J40)</f>
        <v>0</v>
      </c>
      <c r="O40" s="5" t="n">
        <f aca="false">IF(A40="","",M40-N40)</f>
        <v>0</v>
      </c>
      <c r="Q40" s="7" t="s">
        <v>117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7" t="n">
        <f aca="false">SUMPRODUCT(--(R40:AA40&gt;0),'Настройки цен'!$B$12:$K$12)</f>
        <v>0</v>
      </c>
      <c r="AC40" s="9" t="str">
        <f aca="false">IF(AB40=0,"",SUMPRODUCT(R40:AA40,'Настройки цен'!$B$11:$K$11,'Настройки цен'!$B$12:$K$12)/AB40)</f>
        <v/>
      </c>
      <c r="AD40" s="10"/>
      <c r="AE40" s="11" t="n">
        <f aca="false">IF(AD40&lt;&gt;"",AD40,IFERROR(IF(INDEX('Настройки цен'!$B$17:$B$24,MATCH(E40,'Настройки цен'!$A$17:$A$24,0))="",'Настройки цен'!$B$5,INDEX('Настройки цен'!$B$17:$B$24,MATCH(E40,'Настройки цен'!$A$17:$A$24,0))),'Настройки цен'!$B$5))</f>
        <v>0</v>
      </c>
      <c r="AF40" s="9" t="str">
        <f aca="false">IF(AC40="","",ROUND(AC40*(1+AE40)/'Настройки цен'!$B$6,0)*'Настройки цен'!$B$6)</f>
        <v/>
      </c>
      <c r="AG40" s="12" t="str">
        <f aca="false">IF(OR(AC40="",H40=""),"",H40/AC40-1)</f>
        <v/>
      </c>
      <c r="AH40" s="7"/>
    </row>
    <row r="41" customFormat="false" ht="15.75" hidden="false" customHeight="true" outlineLevel="0" collapsed="false">
      <c r="A41" s="3" t="n">
        <v>4691701164</v>
      </c>
      <c r="B41" s="3" t="s">
        <v>119</v>
      </c>
      <c r="D41" s="3" t="s">
        <v>41</v>
      </c>
      <c r="E41" s="3" t="s">
        <v>55</v>
      </c>
      <c r="F41" s="4"/>
      <c r="G41" s="5"/>
      <c r="H41" s="5" t="n">
        <v>6000</v>
      </c>
      <c r="I41" s="3" t="n">
        <v>28</v>
      </c>
      <c r="K41" s="6" t="n">
        <f aca="false">I41-J41</f>
        <v>28</v>
      </c>
      <c r="L41" s="5" t="n">
        <f aca="false">K41*H41</f>
        <v>168000</v>
      </c>
      <c r="M41" s="5" t="n">
        <f aca="false">IF(A41="","",H41*J41)</f>
        <v>0</v>
      </c>
      <c r="N41" s="5" t="n">
        <f aca="false">IF(A41="","",G41*J41)</f>
        <v>0</v>
      </c>
      <c r="O41" s="5" t="n">
        <f aca="false">IF(A41="","",M41-N41)</f>
        <v>0</v>
      </c>
      <c r="Q41" s="7" t="s">
        <v>120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7" t="n">
        <f aca="false">SUMPRODUCT(--(R41:AA41&gt;0),'Настройки цен'!$B$12:$K$12)</f>
        <v>0</v>
      </c>
      <c r="AC41" s="9" t="str">
        <f aca="false">IF(AB41=0,"",SUMPRODUCT(R41:AA41,'Настройки цен'!$B$11:$K$11,'Настройки цен'!$B$12:$K$12)/AB41)</f>
        <v/>
      </c>
      <c r="AD41" s="10"/>
      <c r="AE41" s="11" t="n">
        <f aca="false">IF(AD41&lt;&gt;"",AD41,IFERROR(IF(INDEX('Настройки цен'!$B$17:$B$24,MATCH(E41,'Настройки цен'!$A$17:$A$24,0))="",'Настройки цен'!$B$5,INDEX('Настройки цен'!$B$17:$B$24,MATCH(E41,'Настройки цен'!$A$17:$A$24,0))),'Настройки цен'!$B$5))</f>
        <v>0</v>
      </c>
      <c r="AF41" s="9" t="str">
        <f aca="false">IF(AC41="","",ROUND(AC41*(1+AE41)/'Настройки цен'!$B$6,0)*'Настройки цен'!$B$6)</f>
        <v/>
      </c>
      <c r="AG41" s="12" t="str">
        <f aca="false">IF(OR(AC41="",H41=""),"",H41/AC41-1)</f>
        <v/>
      </c>
      <c r="AH41" s="7"/>
    </row>
    <row r="42" customFormat="false" ht="15.75" hidden="false" customHeight="true" outlineLevel="0" collapsed="false">
      <c r="B42" s="3" t="s">
        <v>121</v>
      </c>
      <c r="D42" s="3" t="s">
        <v>41</v>
      </c>
      <c r="E42" s="3" t="s">
        <v>37</v>
      </c>
      <c r="F42" s="4"/>
      <c r="G42" s="5"/>
      <c r="H42" s="5" t="n">
        <v>3000</v>
      </c>
      <c r="I42" s="3" t="n">
        <v>9</v>
      </c>
      <c r="K42" s="6" t="n">
        <f aca="false">I42-J42</f>
        <v>9</v>
      </c>
      <c r="L42" s="5" t="n">
        <f aca="false">K42*H42</f>
        <v>27000</v>
      </c>
      <c r="M42" s="5" t="str">
        <f aca="false">IF(A42="","",H42*J42)</f>
        <v/>
      </c>
      <c r="N42" s="5" t="str">
        <f aca="false">IF(A42="","",G42*J42)</f>
        <v/>
      </c>
      <c r="O42" s="5" t="str">
        <f aca="false">IF(A42="","",M42-N42)</f>
        <v/>
      </c>
      <c r="Q42" s="7"/>
      <c r="R42" s="8"/>
      <c r="S42" s="8"/>
      <c r="T42" s="8"/>
      <c r="U42" s="8"/>
      <c r="V42" s="8"/>
      <c r="W42" s="8"/>
      <c r="X42" s="8"/>
      <c r="Y42" s="8"/>
      <c r="Z42" s="8"/>
      <c r="AA42" s="8"/>
      <c r="AB42" s="7" t="n">
        <f aca="false">SUMPRODUCT(--(R42:AA42&gt;0),'Настройки цен'!$B$12:$K$12)</f>
        <v>0</v>
      </c>
      <c r="AC42" s="9" t="str">
        <f aca="false">IF(AB42=0,"",SUMPRODUCT(R42:AA42,'Настройки цен'!$B$11:$K$11,'Настройки цен'!$B$12:$K$12)/AB42)</f>
        <v/>
      </c>
      <c r="AD42" s="10"/>
      <c r="AE42" s="11" t="n">
        <f aca="false">IF(AD42&lt;&gt;"",AD42,IFERROR(IF(INDEX('Настройки цен'!$B$17:$B$24,MATCH(E42,'Настройки цен'!$A$17:$A$24,0))="",'Настройки цен'!$B$5,INDEX('Настройки цен'!$B$17:$B$24,MATCH(E42,'Настройки цен'!$A$17:$A$24,0))),'Настройки цен'!$B$5))</f>
        <v>0</v>
      </c>
      <c r="AF42" s="9" t="str">
        <f aca="false">IF(AC42="","",ROUND(AC42*(1+AE42)/'Настройки цен'!$B$6,0)*'Настройки цен'!$B$6)</f>
        <v/>
      </c>
      <c r="AG42" s="12" t="str">
        <f aca="false">IF(OR(AC42="",H42=""),"",H42/AC42-1)</f>
        <v/>
      </c>
      <c r="AH42" s="7"/>
    </row>
    <row r="43" customFormat="false" ht="15.75" hidden="false" customHeight="true" outlineLevel="0" collapsed="false">
      <c r="A43" s="3" t="n">
        <v>57707</v>
      </c>
      <c r="B43" s="3" t="s">
        <v>122</v>
      </c>
      <c r="D43" s="3" t="s">
        <v>41</v>
      </c>
      <c r="E43" s="3" t="s">
        <v>55</v>
      </c>
      <c r="F43" s="4"/>
      <c r="G43" s="5"/>
      <c r="H43" s="5" t="n">
        <v>9000</v>
      </c>
      <c r="I43" s="3" t="n">
        <v>5</v>
      </c>
      <c r="K43" s="6" t="n">
        <f aca="false">I43-J43</f>
        <v>5</v>
      </c>
      <c r="L43" s="5" t="n">
        <f aca="false">K43*H43</f>
        <v>45000</v>
      </c>
      <c r="M43" s="5" t="n">
        <f aca="false">IF(A43="","",H43*J43)</f>
        <v>0</v>
      </c>
      <c r="N43" s="5" t="n">
        <f aca="false">IF(A43="","",G43*J43)</f>
        <v>0</v>
      </c>
      <c r="O43" s="5" t="n">
        <f aca="false">IF(A43="","",M43-N43)</f>
        <v>0</v>
      </c>
      <c r="Q43" s="7" t="s">
        <v>123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7" t="n">
        <f aca="false">SUMPRODUCT(--(R43:AA43&gt;0),'Настройки цен'!$B$12:$K$12)</f>
        <v>0</v>
      </c>
      <c r="AC43" s="9" t="str">
        <f aca="false">IF(AB43=0,"",SUMPRODUCT(R43:AA43,'Настройки цен'!$B$11:$K$11,'Настройки цен'!$B$12:$K$12)/AB43)</f>
        <v/>
      </c>
      <c r="AD43" s="10"/>
      <c r="AE43" s="11" t="n">
        <f aca="false">IF(AD43&lt;&gt;"",AD43,IFERROR(IF(INDEX('Настройки цен'!$B$17:$B$24,MATCH(E43,'Настройки цен'!$A$17:$A$24,0))="",'Настройки цен'!$B$5,INDEX('Настройки цен'!$B$17:$B$24,MATCH(E43,'Настройки цен'!$A$17:$A$24,0))),'Настройки цен'!$B$5))</f>
        <v>0</v>
      </c>
      <c r="AF43" s="9" t="str">
        <f aca="false">IF(AC43="","",ROUND(AC43*(1+AE43)/'Настройки цен'!$B$6,0)*'Настройки цен'!$B$6)</f>
        <v/>
      </c>
      <c r="AG43" s="12" t="str">
        <f aca="false">IF(OR(AC43="",H43=""),"",H43/AC43-1)</f>
        <v/>
      </c>
      <c r="AH43" s="7"/>
    </row>
    <row r="44" customFormat="false" ht="15.75" hidden="false" customHeight="true" outlineLevel="0" collapsed="false">
      <c r="A44" s="3" t="n">
        <v>451501701040</v>
      </c>
      <c r="B44" s="3" t="s">
        <v>124</v>
      </c>
      <c r="D44" s="3" t="s">
        <v>35</v>
      </c>
      <c r="E44" s="3" t="s">
        <v>55</v>
      </c>
      <c r="F44" s="4"/>
      <c r="G44" s="5"/>
      <c r="H44" s="5" t="n">
        <v>10000</v>
      </c>
      <c r="I44" s="3" t="n">
        <v>13</v>
      </c>
      <c r="K44" s="6" t="n">
        <f aca="false">I44-J44</f>
        <v>13</v>
      </c>
      <c r="L44" s="5" t="n">
        <f aca="false">K44*H44</f>
        <v>130000</v>
      </c>
      <c r="M44" s="5" t="n">
        <f aca="false">IF(A44="","",H44*J44)</f>
        <v>0</v>
      </c>
      <c r="N44" s="5" t="n">
        <f aca="false">IF(A44="","",G44*J44)</f>
        <v>0</v>
      </c>
      <c r="O44" s="5" t="n">
        <f aca="false">IF(A44="","",M44-N44)</f>
        <v>0</v>
      </c>
      <c r="Q44" s="7" t="s">
        <v>125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7" t="n">
        <f aca="false">SUMPRODUCT(--(R44:AA44&gt;0),'Настройки цен'!$B$12:$K$12)</f>
        <v>0</v>
      </c>
      <c r="AC44" s="9" t="str">
        <f aca="false">IF(AB44=0,"",SUMPRODUCT(R44:AA44,'Настройки цен'!$B$11:$K$11,'Настройки цен'!$B$12:$K$12)/AB44)</f>
        <v/>
      </c>
      <c r="AD44" s="10"/>
      <c r="AE44" s="11" t="n">
        <f aca="false">IF(AD44&lt;&gt;"",AD44,IFERROR(IF(INDEX('Настройки цен'!$B$17:$B$24,MATCH(E44,'Настройки цен'!$A$17:$A$24,0))="",'Настройки цен'!$B$5,INDEX('Настройки цен'!$B$17:$B$24,MATCH(E44,'Настройки цен'!$A$17:$A$24,0))),'Настройки цен'!$B$5))</f>
        <v>0</v>
      </c>
      <c r="AF44" s="9" t="str">
        <f aca="false">IF(AC44="","",ROUND(AC44*(1+AE44)/'Настройки цен'!$B$6,0)*'Настройки цен'!$B$6)</f>
        <v/>
      </c>
      <c r="AG44" s="12" t="str">
        <f aca="false">IF(OR(AC44="",H44=""),"",H44/AC44-1)</f>
        <v/>
      </c>
      <c r="AH44" s="7"/>
    </row>
    <row r="45" customFormat="false" ht="15.75" hidden="false" customHeight="true" outlineLevel="0" collapsed="false">
      <c r="B45" s="3" t="s">
        <v>126</v>
      </c>
      <c r="D45" s="3" t="s">
        <v>41</v>
      </c>
      <c r="E45" s="3" t="s">
        <v>55</v>
      </c>
      <c r="F45" s="4"/>
      <c r="G45" s="5"/>
      <c r="H45" s="5" t="n">
        <v>60000</v>
      </c>
      <c r="I45" s="3" t="n">
        <v>1</v>
      </c>
      <c r="K45" s="6" t="n">
        <f aca="false">I45-J45</f>
        <v>1</v>
      </c>
      <c r="L45" s="5" t="n">
        <f aca="false">K45*H45</f>
        <v>60000</v>
      </c>
      <c r="M45" s="5" t="str">
        <f aca="false">IF(A45="","",H45*J45)</f>
        <v/>
      </c>
      <c r="N45" s="5" t="str">
        <f aca="false">IF(A45="","",G45*J45)</f>
        <v/>
      </c>
      <c r="O45" s="5" t="str">
        <f aca="false">IF(A45="","",M45-N45)</f>
        <v/>
      </c>
      <c r="Q45" s="7"/>
      <c r="R45" s="8"/>
      <c r="S45" s="8"/>
      <c r="T45" s="8"/>
      <c r="U45" s="8"/>
      <c r="V45" s="8"/>
      <c r="W45" s="8"/>
      <c r="X45" s="8"/>
      <c r="Y45" s="8"/>
      <c r="Z45" s="8"/>
      <c r="AA45" s="8"/>
      <c r="AB45" s="7" t="n">
        <f aca="false">SUMPRODUCT(--(R45:AA45&gt;0),'Настройки цен'!$B$12:$K$12)</f>
        <v>0</v>
      </c>
      <c r="AC45" s="9" t="str">
        <f aca="false">IF(AB45=0,"",SUMPRODUCT(R45:AA45,'Настройки цен'!$B$11:$K$11,'Настройки цен'!$B$12:$K$12)/AB45)</f>
        <v/>
      </c>
      <c r="AD45" s="10"/>
      <c r="AE45" s="11" t="n">
        <f aca="false">IF(AD45&lt;&gt;"",AD45,IFERROR(IF(INDEX('Настройки цен'!$B$17:$B$24,MATCH(E45,'Настройки цен'!$A$17:$A$24,0))="",'Настройки цен'!$B$5,INDEX('Настройки цен'!$B$17:$B$24,MATCH(E45,'Настройки цен'!$A$17:$A$24,0))),'Настройки цен'!$B$5))</f>
        <v>0</v>
      </c>
      <c r="AF45" s="9" t="str">
        <f aca="false">IF(AC45="","",ROUND(AC45*(1+AE45)/'Настройки цен'!$B$6,0)*'Настройки цен'!$B$6)</f>
        <v/>
      </c>
      <c r="AG45" s="12" t="str">
        <f aca="false">IF(OR(AC45="",H45=""),"",H45/AC45-1)</f>
        <v/>
      </c>
      <c r="AH45" s="7"/>
    </row>
    <row r="46" customFormat="false" ht="15.75" hidden="false" customHeight="true" outlineLevel="0" collapsed="false">
      <c r="B46" s="3" t="s">
        <v>127</v>
      </c>
      <c r="D46" s="3" t="s">
        <v>41</v>
      </c>
      <c r="E46" s="3" t="s">
        <v>55</v>
      </c>
      <c r="F46" s="4"/>
      <c r="G46" s="5"/>
      <c r="H46" s="5" t="n">
        <v>60000</v>
      </c>
      <c r="I46" s="3" t="n">
        <v>1</v>
      </c>
      <c r="K46" s="6" t="n">
        <f aca="false">I46-J46</f>
        <v>1</v>
      </c>
      <c r="L46" s="5" t="n">
        <f aca="false">K46*H46</f>
        <v>60000</v>
      </c>
      <c r="M46" s="5" t="str">
        <f aca="false">IF(A46="","",H46*J46)</f>
        <v/>
      </c>
      <c r="N46" s="5" t="str">
        <f aca="false">IF(A46="","",G46*J46)</f>
        <v/>
      </c>
      <c r="O46" s="5" t="str">
        <f aca="false">IF(A46="","",M46-N46)</f>
        <v/>
      </c>
      <c r="Q46" s="7"/>
      <c r="R46" s="8"/>
      <c r="S46" s="8"/>
      <c r="T46" s="8"/>
      <c r="U46" s="8"/>
      <c r="V46" s="8"/>
      <c r="W46" s="8"/>
      <c r="X46" s="8"/>
      <c r="Y46" s="8"/>
      <c r="Z46" s="8"/>
      <c r="AA46" s="8"/>
      <c r="AB46" s="7" t="n">
        <f aca="false">SUMPRODUCT(--(R46:AA46&gt;0),'Настройки цен'!$B$12:$K$12)</f>
        <v>0</v>
      </c>
      <c r="AC46" s="9" t="str">
        <f aca="false">IF(AB46=0,"",SUMPRODUCT(R46:AA46,'Настройки цен'!$B$11:$K$11,'Настройки цен'!$B$12:$K$12)/AB46)</f>
        <v/>
      </c>
      <c r="AD46" s="10"/>
      <c r="AE46" s="11" t="n">
        <f aca="false">IF(AD46&lt;&gt;"",AD46,IFERROR(IF(INDEX('Настройки цен'!$B$17:$B$24,MATCH(E46,'Настройки цен'!$A$17:$A$24,0))="",'Настройки цен'!$B$5,INDEX('Настройки цен'!$B$17:$B$24,MATCH(E46,'Настройки цен'!$A$17:$A$24,0))),'Настройки цен'!$B$5))</f>
        <v>0</v>
      </c>
      <c r="AF46" s="9" t="str">
        <f aca="false">IF(AC46="","",ROUND(AC46*(1+AE46)/'Настройки цен'!$B$6,0)*'Настройки цен'!$B$6)</f>
        <v/>
      </c>
      <c r="AG46" s="12" t="str">
        <f aca="false">IF(OR(AC46="",H46=""),"",H46/AC46-1)</f>
        <v/>
      </c>
      <c r="AH46" s="7"/>
    </row>
    <row r="47" customFormat="false" ht="15.75" hidden="false" customHeight="true" outlineLevel="0" collapsed="false">
      <c r="B47" s="3" t="s">
        <v>128</v>
      </c>
      <c r="D47" s="3" t="s">
        <v>41</v>
      </c>
      <c r="E47" s="3" t="s">
        <v>55</v>
      </c>
      <c r="F47" s="4"/>
      <c r="G47" s="5"/>
      <c r="H47" s="5" t="n">
        <v>7000</v>
      </c>
      <c r="I47" s="3" t="n">
        <v>24</v>
      </c>
      <c r="K47" s="6" t="n">
        <f aca="false">I47-J47</f>
        <v>24</v>
      </c>
      <c r="L47" s="5" t="n">
        <f aca="false">K47*H47</f>
        <v>168000</v>
      </c>
      <c r="M47" s="5" t="str">
        <f aca="false">IF(A47="","",H47*J47)</f>
        <v/>
      </c>
      <c r="N47" s="5" t="str">
        <f aca="false">IF(A47="","",G47*J47)</f>
        <v/>
      </c>
      <c r="O47" s="5" t="str">
        <f aca="false">IF(A47="","",M47-N47)</f>
        <v/>
      </c>
      <c r="Q47" s="7"/>
      <c r="R47" s="8"/>
      <c r="S47" s="8"/>
      <c r="T47" s="8"/>
      <c r="U47" s="8"/>
      <c r="V47" s="8"/>
      <c r="W47" s="8"/>
      <c r="X47" s="8"/>
      <c r="Y47" s="8"/>
      <c r="Z47" s="8"/>
      <c r="AA47" s="8"/>
      <c r="AB47" s="7" t="n">
        <f aca="false">SUMPRODUCT(--(R47:AA47&gt;0),'Настройки цен'!$B$12:$K$12)</f>
        <v>0</v>
      </c>
      <c r="AC47" s="9" t="str">
        <f aca="false">IF(AB47=0,"",SUMPRODUCT(R47:AA47,'Настройки цен'!$B$11:$K$11,'Настройки цен'!$B$12:$K$12)/AB47)</f>
        <v/>
      </c>
      <c r="AD47" s="10"/>
      <c r="AE47" s="11" t="n">
        <f aca="false">IF(AD47&lt;&gt;"",AD47,IFERROR(IF(INDEX('Настройки цен'!$B$17:$B$24,MATCH(E47,'Настройки цен'!$A$17:$A$24,0))="",'Настройки цен'!$B$5,INDEX('Настройки цен'!$B$17:$B$24,MATCH(E47,'Настройки цен'!$A$17:$A$24,0))),'Настройки цен'!$B$5))</f>
        <v>0</v>
      </c>
      <c r="AF47" s="9" t="str">
        <f aca="false">IF(AC47="","",ROUND(AC47*(1+AE47)/'Настройки цен'!$B$6,0)*'Настройки цен'!$B$6)</f>
        <v/>
      </c>
      <c r="AG47" s="12" t="str">
        <f aca="false">IF(OR(AC47="",H47=""),"",H47/AC47-1)</f>
        <v/>
      </c>
      <c r="AH47" s="7"/>
    </row>
    <row r="48" customFormat="false" ht="15.75" hidden="false" customHeight="true" outlineLevel="0" collapsed="false">
      <c r="B48" s="3" t="s">
        <v>128</v>
      </c>
      <c r="D48" s="3" t="s">
        <v>66</v>
      </c>
      <c r="E48" s="3" t="s">
        <v>55</v>
      </c>
      <c r="F48" s="4"/>
      <c r="G48" s="5"/>
      <c r="H48" s="5" t="n">
        <v>7000</v>
      </c>
      <c r="I48" s="3" t="n">
        <v>1</v>
      </c>
      <c r="K48" s="6" t="n">
        <f aca="false">I48-J48</f>
        <v>1</v>
      </c>
      <c r="L48" s="5" t="n">
        <f aca="false">K48*H48</f>
        <v>7000</v>
      </c>
      <c r="M48" s="5" t="str">
        <f aca="false">IF(A48="","",H48*J48)</f>
        <v/>
      </c>
      <c r="N48" s="5" t="str">
        <f aca="false">IF(A48="","",G48*J48)</f>
        <v/>
      </c>
      <c r="O48" s="5" t="str">
        <f aca="false">IF(A48="","",M48-N48)</f>
        <v/>
      </c>
      <c r="Q48" s="7"/>
      <c r="R48" s="8"/>
      <c r="S48" s="8"/>
      <c r="T48" s="8"/>
      <c r="U48" s="8"/>
      <c r="V48" s="8"/>
      <c r="W48" s="8"/>
      <c r="X48" s="8"/>
      <c r="Y48" s="8"/>
      <c r="Z48" s="8"/>
      <c r="AA48" s="8"/>
      <c r="AB48" s="7" t="n">
        <f aca="false">SUMPRODUCT(--(R48:AA48&gt;0),'Настройки цен'!$B$12:$K$12)</f>
        <v>0</v>
      </c>
      <c r="AC48" s="9" t="str">
        <f aca="false">IF(AB48=0,"",SUMPRODUCT(R48:AA48,'Настройки цен'!$B$11:$K$11,'Настройки цен'!$B$12:$K$12)/AB48)</f>
        <v/>
      </c>
      <c r="AD48" s="10"/>
      <c r="AE48" s="11" t="n">
        <f aca="false">IF(AD48&lt;&gt;"",AD48,IFERROR(IF(INDEX('Настройки цен'!$B$17:$B$24,MATCH(E48,'Настройки цен'!$A$17:$A$24,0))="",'Настройки цен'!$B$5,INDEX('Настройки цен'!$B$17:$B$24,MATCH(E48,'Настройки цен'!$A$17:$A$24,0))),'Настройки цен'!$B$5))</f>
        <v>0</v>
      </c>
      <c r="AF48" s="9" t="str">
        <f aca="false">IF(AC48="","",ROUND(AC48*(1+AE48)/'Настройки цен'!$B$6,0)*'Настройки цен'!$B$6)</f>
        <v/>
      </c>
      <c r="AG48" s="12" t="str">
        <f aca="false">IF(OR(AC48="",H48=""),"",H48/AC48-1)</f>
        <v/>
      </c>
      <c r="AH48" s="7"/>
    </row>
    <row r="49" customFormat="false" ht="15.75" hidden="false" customHeight="true" outlineLevel="0" collapsed="false">
      <c r="B49" s="3" t="s">
        <v>129</v>
      </c>
      <c r="D49" s="3" t="s">
        <v>41</v>
      </c>
      <c r="E49" s="3" t="s">
        <v>55</v>
      </c>
      <c r="F49" s="4"/>
      <c r="G49" s="5"/>
      <c r="H49" s="5" t="n">
        <v>6000</v>
      </c>
      <c r="I49" s="3" t="n">
        <v>14</v>
      </c>
      <c r="K49" s="6" t="n">
        <f aca="false">I49-J49</f>
        <v>14</v>
      </c>
      <c r="L49" s="5" t="n">
        <f aca="false">K49*H49</f>
        <v>84000</v>
      </c>
      <c r="M49" s="5" t="str">
        <f aca="false">IF(A49="","",H49*J49)</f>
        <v/>
      </c>
      <c r="N49" s="5" t="str">
        <f aca="false">IF(A49="","",G49*J49)</f>
        <v/>
      </c>
      <c r="O49" s="5" t="str">
        <f aca="false">IF(A49="","",M49-N49)</f>
        <v/>
      </c>
      <c r="Q49" s="7"/>
      <c r="R49" s="8"/>
      <c r="S49" s="8"/>
      <c r="T49" s="8"/>
      <c r="U49" s="8"/>
      <c r="V49" s="8"/>
      <c r="W49" s="8"/>
      <c r="X49" s="8"/>
      <c r="Y49" s="8"/>
      <c r="Z49" s="8"/>
      <c r="AA49" s="8"/>
      <c r="AB49" s="7" t="n">
        <f aca="false">SUMPRODUCT(--(R49:AA49&gt;0),'Настройки цен'!$B$12:$K$12)</f>
        <v>0</v>
      </c>
      <c r="AC49" s="9" t="str">
        <f aca="false">IF(AB49=0,"",SUMPRODUCT(R49:AA49,'Настройки цен'!$B$11:$K$11,'Настройки цен'!$B$12:$K$12)/AB49)</f>
        <v/>
      </c>
      <c r="AD49" s="10"/>
      <c r="AE49" s="11" t="n">
        <f aca="false">IF(AD49&lt;&gt;"",AD49,IFERROR(IF(INDEX('Настройки цен'!$B$17:$B$24,MATCH(E49,'Настройки цен'!$A$17:$A$24,0))="",'Настройки цен'!$B$5,INDEX('Настройки цен'!$B$17:$B$24,MATCH(E49,'Настройки цен'!$A$17:$A$24,0))),'Настройки цен'!$B$5))</f>
        <v>0</v>
      </c>
      <c r="AF49" s="9" t="str">
        <f aca="false">IF(AC49="","",ROUND(AC49*(1+AE49)/'Настройки цен'!$B$6,0)*'Настройки цен'!$B$6)</f>
        <v/>
      </c>
      <c r="AG49" s="12" t="str">
        <f aca="false">IF(OR(AC49="",H49=""),"",H49/AC49-1)</f>
        <v/>
      </c>
      <c r="AH49" s="7"/>
    </row>
    <row r="50" customFormat="false" ht="15.75" hidden="false" customHeight="true" outlineLevel="0" collapsed="false">
      <c r="B50" s="3" t="s">
        <v>130</v>
      </c>
      <c r="D50" s="3" t="s">
        <v>66</v>
      </c>
      <c r="E50" s="3" t="s">
        <v>70</v>
      </c>
      <c r="F50" s="4"/>
      <c r="G50" s="5"/>
      <c r="H50" s="5" t="n">
        <v>1500</v>
      </c>
      <c r="I50" s="3" t="n">
        <v>6</v>
      </c>
      <c r="K50" s="6" t="n">
        <f aca="false">I50-J50</f>
        <v>6</v>
      </c>
      <c r="L50" s="5" t="n">
        <f aca="false">K50*H50</f>
        <v>9000</v>
      </c>
      <c r="M50" s="5" t="str">
        <f aca="false">IF(A50="","",H50*J50)</f>
        <v/>
      </c>
      <c r="N50" s="5" t="str">
        <f aca="false">IF(A50="","",G50*J50)</f>
        <v/>
      </c>
      <c r="O50" s="5" t="str">
        <f aca="false">IF(A50="","",M50-N50)</f>
        <v/>
      </c>
      <c r="Q50" s="7"/>
      <c r="R50" s="8"/>
      <c r="S50" s="8"/>
      <c r="T50" s="8"/>
      <c r="U50" s="8"/>
      <c r="V50" s="8"/>
      <c r="W50" s="8"/>
      <c r="X50" s="8"/>
      <c r="Y50" s="8"/>
      <c r="Z50" s="8"/>
      <c r="AA50" s="8"/>
      <c r="AB50" s="7" t="n">
        <f aca="false">SUMPRODUCT(--(R50:AA50&gt;0),'Настройки цен'!$B$12:$K$12)</f>
        <v>0</v>
      </c>
      <c r="AC50" s="9" t="str">
        <f aca="false">IF(AB50=0,"",SUMPRODUCT(R50:AA50,'Настройки цен'!$B$11:$K$11,'Настройки цен'!$B$12:$K$12)/AB50)</f>
        <v/>
      </c>
      <c r="AD50" s="10"/>
      <c r="AE50" s="11" t="n">
        <f aca="false">IF(AD50&lt;&gt;"",AD50,IFERROR(IF(INDEX('Настройки цен'!$B$17:$B$24,MATCH(E50,'Настройки цен'!$A$17:$A$24,0))="",'Настройки цен'!$B$5,INDEX('Настройки цен'!$B$17:$B$24,MATCH(E50,'Настройки цен'!$A$17:$A$24,0))),'Настройки цен'!$B$5))</f>
        <v>0</v>
      </c>
      <c r="AF50" s="9" t="str">
        <f aca="false">IF(AC50="","",ROUND(AC50*(1+AE50)/'Настройки цен'!$B$6,0)*'Настройки цен'!$B$6)</f>
        <v/>
      </c>
      <c r="AG50" s="12" t="str">
        <f aca="false">IF(OR(AC50="",H50=""),"",H50/AC50-1)</f>
        <v/>
      </c>
      <c r="AH50" s="7"/>
    </row>
    <row r="51" customFormat="false" ht="15.75" hidden="false" customHeight="true" outlineLevel="0" collapsed="false">
      <c r="A51" s="3" t="n">
        <v>37413103038</v>
      </c>
      <c r="B51" s="3" t="s">
        <v>131</v>
      </c>
      <c r="D51" s="3" t="s">
        <v>41</v>
      </c>
      <c r="E51" s="3" t="s">
        <v>55</v>
      </c>
      <c r="F51" s="4"/>
      <c r="G51" s="5"/>
      <c r="H51" s="5" t="n">
        <v>1500</v>
      </c>
      <c r="I51" s="3" t="n">
        <v>8</v>
      </c>
      <c r="K51" s="6" t="n">
        <f aca="false">I51-J51</f>
        <v>8</v>
      </c>
      <c r="L51" s="5" t="n">
        <f aca="false">K51*H51</f>
        <v>12000</v>
      </c>
      <c r="M51" s="5" t="n">
        <f aca="false">IF(A51="","",H51*J51)</f>
        <v>0</v>
      </c>
      <c r="N51" s="5" t="n">
        <f aca="false">IF(A51="","",G51*J51)</f>
        <v>0</v>
      </c>
      <c r="O51" s="5" t="n">
        <f aca="false">IF(A51="","",M51-N51)</f>
        <v>0</v>
      </c>
      <c r="Q51" s="7" t="s">
        <v>132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7" t="n">
        <f aca="false">SUMPRODUCT(--(R51:AA51&gt;0),'Настройки цен'!$B$12:$K$12)</f>
        <v>0</v>
      </c>
      <c r="AC51" s="9" t="str">
        <f aca="false">IF(AB51=0,"",SUMPRODUCT(R51:AA51,'Настройки цен'!$B$11:$K$11,'Настройки цен'!$B$12:$K$12)/AB51)</f>
        <v/>
      </c>
      <c r="AD51" s="10"/>
      <c r="AE51" s="11" t="n">
        <f aca="false">IF(AD51&lt;&gt;"",AD51,IFERROR(IF(INDEX('Настройки цен'!$B$17:$B$24,MATCH(E51,'Настройки цен'!$A$17:$A$24,0))="",'Настройки цен'!$B$5,INDEX('Настройки цен'!$B$17:$B$24,MATCH(E51,'Настройки цен'!$A$17:$A$24,0))),'Настройки цен'!$B$5))</f>
        <v>0</v>
      </c>
      <c r="AF51" s="9" t="str">
        <f aca="false">IF(AC51="","",ROUND(AC51*(1+AE51)/'Настройки цен'!$B$6,0)*'Настройки цен'!$B$6)</f>
        <v/>
      </c>
      <c r="AG51" s="12" t="str">
        <f aca="false">IF(OR(AC51="",H51=""),"",H51/AC51-1)</f>
        <v/>
      </c>
      <c r="AH51" s="7"/>
    </row>
    <row r="52" customFormat="false" ht="15.75" hidden="false" customHeight="true" outlineLevel="0" collapsed="false">
      <c r="B52" s="3" t="s">
        <v>133</v>
      </c>
      <c r="D52" s="3" t="s">
        <v>41</v>
      </c>
      <c r="E52" s="3" t="s">
        <v>55</v>
      </c>
      <c r="F52" s="4"/>
      <c r="G52" s="5"/>
      <c r="H52" s="5" t="n">
        <v>2000</v>
      </c>
      <c r="I52" s="3" t="n">
        <v>12</v>
      </c>
      <c r="K52" s="6" t="n">
        <f aca="false">I52-J52</f>
        <v>12</v>
      </c>
      <c r="L52" s="5" t="n">
        <f aca="false">K52*H52</f>
        <v>24000</v>
      </c>
      <c r="M52" s="5" t="str">
        <f aca="false">IF(A52="","",H52*J52)</f>
        <v/>
      </c>
      <c r="N52" s="5" t="str">
        <f aca="false">IF(A52="","",G52*J52)</f>
        <v/>
      </c>
      <c r="O52" s="5" t="str">
        <f aca="false">IF(A52="","",M52-N52)</f>
        <v/>
      </c>
      <c r="Q52" s="7"/>
      <c r="R52" s="8"/>
      <c r="S52" s="8"/>
      <c r="T52" s="8"/>
      <c r="U52" s="8"/>
      <c r="V52" s="8"/>
      <c r="W52" s="8"/>
      <c r="X52" s="8"/>
      <c r="Y52" s="8"/>
      <c r="Z52" s="8"/>
      <c r="AA52" s="8"/>
      <c r="AB52" s="7" t="n">
        <f aca="false">SUMPRODUCT(--(R52:AA52&gt;0),'Настройки цен'!$B$12:$K$12)</f>
        <v>0</v>
      </c>
      <c r="AC52" s="9" t="str">
        <f aca="false">IF(AB52=0,"",SUMPRODUCT(R52:AA52,'Настройки цен'!$B$11:$K$11,'Настройки цен'!$B$12:$K$12)/AB52)</f>
        <v/>
      </c>
      <c r="AD52" s="10"/>
      <c r="AE52" s="11" t="n">
        <f aca="false">IF(AD52&lt;&gt;"",AD52,IFERROR(IF(INDEX('Настройки цен'!$B$17:$B$24,MATCH(E52,'Настройки цен'!$A$17:$A$24,0))="",'Настройки цен'!$B$5,INDEX('Настройки цен'!$B$17:$B$24,MATCH(E52,'Настройки цен'!$A$17:$A$24,0))),'Настройки цен'!$B$5))</f>
        <v>0</v>
      </c>
      <c r="AF52" s="9" t="str">
        <f aca="false">IF(AC52="","",ROUND(AC52*(1+AE52)/'Настройки цен'!$B$6,0)*'Настройки цен'!$B$6)</f>
        <v/>
      </c>
      <c r="AG52" s="12" t="str">
        <f aca="false">IF(OR(AC52="",H52=""),"",H52/AC52-1)</f>
        <v/>
      </c>
      <c r="AH52" s="7"/>
    </row>
    <row r="53" customFormat="false" ht="15.75" hidden="false" customHeight="true" outlineLevel="0" collapsed="false">
      <c r="B53" s="3" t="s">
        <v>134</v>
      </c>
      <c r="D53" s="3" t="s">
        <v>41</v>
      </c>
      <c r="E53" s="3" t="s">
        <v>135</v>
      </c>
      <c r="F53" s="4"/>
      <c r="G53" s="5"/>
      <c r="H53" s="5" t="n">
        <v>5000</v>
      </c>
      <c r="I53" s="3" t="n">
        <v>3</v>
      </c>
      <c r="K53" s="6" t="n">
        <f aca="false">I53-J53</f>
        <v>3</v>
      </c>
      <c r="L53" s="5" t="n">
        <f aca="false">K53*H53</f>
        <v>15000</v>
      </c>
      <c r="M53" s="5" t="str">
        <f aca="false">IF(A53="","",H53*J53)</f>
        <v/>
      </c>
      <c r="N53" s="5" t="str">
        <f aca="false">IF(A53="","",G53*J53)</f>
        <v/>
      </c>
      <c r="O53" s="5" t="str">
        <f aca="false">IF(A53="","",M53-N53)</f>
        <v/>
      </c>
      <c r="Q53" s="7"/>
      <c r="R53" s="8"/>
      <c r="S53" s="8"/>
      <c r="T53" s="8"/>
      <c r="U53" s="8"/>
      <c r="V53" s="8"/>
      <c r="W53" s="8"/>
      <c r="X53" s="8"/>
      <c r="Y53" s="8"/>
      <c r="Z53" s="8"/>
      <c r="AA53" s="8"/>
      <c r="AB53" s="7" t="n">
        <f aca="false">SUMPRODUCT(--(R53:AA53&gt;0),'Настройки цен'!$B$12:$K$12)</f>
        <v>0</v>
      </c>
      <c r="AC53" s="9" t="str">
        <f aca="false">IF(AB53=0,"",SUMPRODUCT(R53:AA53,'Настройки цен'!$B$11:$K$11,'Настройки цен'!$B$12:$K$12)/AB53)</f>
        <v/>
      </c>
      <c r="AD53" s="10"/>
      <c r="AE53" s="11" t="n">
        <f aca="false">IF(AD53&lt;&gt;"",AD53,IFERROR(IF(INDEX('Настройки цен'!$B$17:$B$24,MATCH(E53,'Настройки цен'!$A$17:$A$24,0))="",'Настройки цен'!$B$5,INDEX('Настройки цен'!$B$17:$B$24,MATCH(E53,'Настройки цен'!$A$17:$A$24,0))),'Настройки цен'!$B$5))</f>
        <v>0</v>
      </c>
      <c r="AF53" s="9" t="str">
        <f aca="false">IF(AC53="","",ROUND(AC53*(1+AE53)/'Настройки цен'!$B$6,0)*'Настройки цен'!$B$6)</f>
        <v/>
      </c>
      <c r="AG53" s="12" t="str">
        <f aca="false">IF(OR(AC53="",H53=""),"",H53/AC53-1)</f>
        <v/>
      </c>
      <c r="AH53" s="7"/>
    </row>
    <row r="54" customFormat="false" ht="15.75" hidden="false" customHeight="true" outlineLevel="0" collapsed="false">
      <c r="A54" s="3" t="n">
        <v>316300811001007</v>
      </c>
      <c r="B54" s="3" t="s">
        <v>136</v>
      </c>
      <c r="D54" s="3" t="s">
        <v>35</v>
      </c>
      <c r="E54" s="3" t="s">
        <v>137</v>
      </c>
      <c r="F54" s="4"/>
      <c r="G54" s="5"/>
      <c r="H54" s="5" t="n">
        <v>65000</v>
      </c>
      <c r="I54" s="3" t="n">
        <v>1</v>
      </c>
      <c r="K54" s="6" t="n">
        <f aca="false">I54-J54</f>
        <v>1</v>
      </c>
      <c r="L54" s="5" t="n">
        <f aca="false">K54*H54</f>
        <v>65000</v>
      </c>
      <c r="M54" s="5" t="n">
        <f aca="false">IF(A54="","",H54*J54)</f>
        <v>0</v>
      </c>
      <c r="N54" s="5" t="n">
        <f aca="false">IF(A54="","",G54*J54)</f>
        <v>0</v>
      </c>
      <c r="O54" s="5" t="n">
        <f aca="false">IF(A54="","",M54-N54)</f>
        <v>0</v>
      </c>
      <c r="Q54" s="7" t="s">
        <v>138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7" t="n">
        <f aca="false">SUMPRODUCT(--(R54:AA54&gt;0),'Настройки цен'!$B$12:$K$12)</f>
        <v>0</v>
      </c>
      <c r="AC54" s="9" t="str">
        <f aca="false">IF(AB54=0,"",SUMPRODUCT(R54:AA54,'Настройки цен'!$B$11:$K$11,'Настройки цен'!$B$12:$K$12)/AB54)</f>
        <v/>
      </c>
      <c r="AD54" s="10"/>
      <c r="AE54" s="11" t="n">
        <f aca="false">IF(AD54&lt;&gt;"",AD54,IFERROR(IF(INDEX('Настройки цен'!$B$17:$B$24,MATCH(E54,'Настройки цен'!$A$17:$A$24,0))="",'Настройки цен'!$B$5,INDEX('Настройки цен'!$B$17:$B$24,MATCH(E54,'Настройки цен'!$A$17:$A$24,0))),'Настройки цен'!$B$5))</f>
        <v>0</v>
      </c>
      <c r="AF54" s="9" t="str">
        <f aca="false">IF(AC54="","",ROUND(AC54*(1+AE54)/'Настройки цен'!$B$6,0)*'Настройки цен'!$B$6)</f>
        <v/>
      </c>
      <c r="AG54" s="12" t="str">
        <f aca="false">IF(OR(AC54="",H54=""),"",H54/AC54-1)</f>
        <v/>
      </c>
      <c r="AH54" s="7"/>
    </row>
    <row r="55" customFormat="false" ht="15.75" hidden="false" customHeight="true" outlineLevel="0" collapsed="false">
      <c r="A55" s="3" t="n">
        <v>310291117010</v>
      </c>
      <c r="B55" s="3" t="s">
        <v>139</v>
      </c>
      <c r="D55" s="3" t="s">
        <v>82</v>
      </c>
      <c r="E55" s="3" t="s">
        <v>140</v>
      </c>
      <c r="F55" s="4"/>
      <c r="G55" s="5"/>
      <c r="H55" s="5" t="n">
        <v>4000</v>
      </c>
      <c r="I55" s="3" t="n">
        <v>4</v>
      </c>
      <c r="K55" s="6" t="n">
        <f aca="false">I55-J55</f>
        <v>4</v>
      </c>
      <c r="L55" s="5" t="n">
        <f aca="false">K55*H55</f>
        <v>16000</v>
      </c>
      <c r="M55" s="5" t="n">
        <f aca="false">IF(A55="","",H55*J55)</f>
        <v>0</v>
      </c>
      <c r="N55" s="5" t="n">
        <f aca="false">IF(A55="","",G55*J55)</f>
        <v>0</v>
      </c>
      <c r="O55" s="5" t="n">
        <f aca="false">IF(A55="","",M55-N55)</f>
        <v>0</v>
      </c>
      <c r="Q55" s="7" t="s">
        <v>141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7" t="n">
        <f aca="false">SUMPRODUCT(--(R55:AA55&gt;0),'Настройки цен'!$B$12:$K$12)</f>
        <v>0</v>
      </c>
      <c r="AC55" s="9" t="str">
        <f aca="false">IF(AB55=0,"",SUMPRODUCT(R55:AA55,'Настройки цен'!$B$11:$K$11,'Настройки цен'!$B$12:$K$12)/AB55)</f>
        <v/>
      </c>
      <c r="AD55" s="10"/>
      <c r="AE55" s="11" t="n">
        <f aca="false">IF(AD55&lt;&gt;"",AD55,IFERROR(IF(INDEX('Настройки цен'!$B$17:$B$24,MATCH(E55,'Настройки цен'!$A$17:$A$24,0))="",'Настройки цен'!$B$5,INDEX('Настройки цен'!$B$17:$B$24,MATCH(E55,'Настройки цен'!$A$17:$A$24,0))),'Настройки цен'!$B$5))</f>
        <v>0</v>
      </c>
      <c r="AF55" s="9" t="str">
        <f aca="false">IF(AC55="","",ROUND(AC55*(1+AE55)/'Настройки цен'!$B$6,0)*'Настройки цен'!$B$6)</f>
        <v/>
      </c>
      <c r="AG55" s="12" t="str">
        <f aca="false">IF(OR(AC55="",H55=""),"",H55/AC55-1)</f>
        <v/>
      </c>
      <c r="AH55" s="7"/>
    </row>
    <row r="56" customFormat="false" ht="15.75" hidden="false" customHeight="true" outlineLevel="0" collapsed="false">
      <c r="A56" s="3" t="n">
        <v>24100010202</v>
      </c>
      <c r="B56" s="3" t="s">
        <v>142</v>
      </c>
      <c r="D56" s="3" t="s">
        <v>82</v>
      </c>
      <c r="E56" s="3" t="s">
        <v>70</v>
      </c>
      <c r="F56" s="4"/>
      <c r="G56" s="5"/>
      <c r="H56" s="5" t="n">
        <v>10000</v>
      </c>
      <c r="I56" s="3" t="n">
        <v>3</v>
      </c>
      <c r="K56" s="6" t="n">
        <f aca="false">I56-J56</f>
        <v>3</v>
      </c>
      <c r="L56" s="5" t="n">
        <f aca="false">K56*H56</f>
        <v>30000</v>
      </c>
      <c r="M56" s="5" t="n">
        <f aca="false">IF(A56="","",H56*J56)</f>
        <v>0</v>
      </c>
      <c r="N56" s="5" t="n">
        <f aca="false">IF(A56="","",G56*J56)</f>
        <v>0</v>
      </c>
      <c r="O56" s="5" t="n">
        <f aca="false">IF(A56="","",M56-N56)</f>
        <v>0</v>
      </c>
      <c r="Q56" s="7" t="s">
        <v>143</v>
      </c>
      <c r="R56" s="8"/>
      <c r="S56" s="8"/>
      <c r="T56" s="8"/>
      <c r="U56" s="8"/>
      <c r="V56" s="8"/>
      <c r="W56" s="8"/>
      <c r="X56" s="8"/>
      <c r="Y56" s="8"/>
      <c r="Z56" s="8"/>
      <c r="AA56" s="8"/>
      <c r="AB56" s="7" t="n">
        <f aca="false">SUMPRODUCT(--(R56:AA56&gt;0),'Настройки цен'!$B$12:$K$12)</f>
        <v>0</v>
      </c>
      <c r="AC56" s="9" t="str">
        <f aca="false">IF(AB56=0,"",SUMPRODUCT(R56:AA56,'Настройки цен'!$B$11:$K$11,'Настройки цен'!$B$12:$K$12)/AB56)</f>
        <v/>
      </c>
      <c r="AD56" s="10"/>
      <c r="AE56" s="11" t="n">
        <f aca="false">IF(AD56&lt;&gt;"",AD56,IFERROR(IF(INDEX('Настройки цен'!$B$17:$B$24,MATCH(E56,'Настройки цен'!$A$17:$A$24,0))="",'Настройки цен'!$B$5,INDEX('Настройки цен'!$B$17:$B$24,MATCH(E56,'Настройки цен'!$A$17:$A$24,0))),'Настройки цен'!$B$5))</f>
        <v>0</v>
      </c>
      <c r="AF56" s="9" t="str">
        <f aca="false">IF(AC56="","",ROUND(AC56*(1+AE56)/'Настройки цен'!$B$6,0)*'Настройки цен'!$B$6)</f>
        <v/>
      </c>
      <c r="AG56" s="12" t="str">
        <f aca="false">IF(OR(AC56="",H56=""),"",H56/AC56-1)</f>
        <v/>
      </c>
      <c r="AH56" s="7"/>
    </row>
    <row r="57" customFormat="false" ht="15.75" hidden="false" customHeight="true" outlineLevel="0" collapsed="false">
      <c r="A57" s="3" t="n">
        <v>24100010231</v>
      </c>
      <c r="B57" s="3" t="s">
        <v>144</v>
      </c>
      <c r="D57" s="3" t="s">
        <v>82</v>
      </c>
      <c r="E57" s="3" t="s">
        <v>70</v>
      </c>
      <c r="F57" s="4"/>
      <c r="G57" s="5"/>
      <c r="H57" s="5" t="n">
        <v>10000</v>
      </c>
      <c r="I57" s="3" t="n">
        <v>2</v>
      </c>
      <c r="K57" s="6" t="n">
        <f aca="false">I57-J57</f>
        <v>2</v>
      </c>
      <c r="L57" s="5" t="n">
        <f aca="false">K57*H57</f>
        <v>20000</v>
      </c>
      <c r="M57" s="5" t="n">
        <f aca="false">IF(A57="","",H57*J57)</f>
        <v>0</v>
      </c>
      <c r="N57" s="5" t="n">
        <f aca="false">IF(A57="","",G57*J57)</f>
        <v>0</v>
      </c>
      <c r="O57" s="5" t="n">
        <f aca="false">IF(A57="","",M57-N57)</f>
        <v>0</v>
      </c>
      <c r="Q57" s="7" t="s">
        <v>145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7" t="n">
        <f aca="false">SUMPRODUCT(--(R57:AA57&gt;0),'Настройки цен'!$B$12:$K$12)</f>
        <v>0</v>
      </c>
      <c r="AC57" s="9" t="str">
        <f aca="false">IF(AB57=0,"",SUMPRODUCT(R57:AA57,'Настройки цен'!$B$11:$K$11,'Настройки цен'!$B$12:$K$12)/AB57)</f>
        <v/>
      </c>
      <c r="AD57" s="10"/>
      <c r="AE57" s="11" t="n">
        <f aca="false">IF(AD57&lt;&gt;"",AD57,IFERROR(IF(INDEX('Настройки цен'!$B$17:$B$24,MATCH(E57,'Настройки цен'!$A$17:$A$24,0))="",'Настройки цен'!$B$5,INDEX('Настройки цен'!$B$17:$B$24,MATCH(E57,'Настройки цен'!$A$17:$A$24,0))),'Настройки цен'!$B$5))</f>
        <v>0</v>
      </c>
      <c r="AF57" s="9" t="str">
        <f aca="false">IF(AC57="","",ROUND(AC57*(1+AE57)/'Настройки цен'!$B$6,0)*'Настройки цен'!$B$6)</f>
        <v/>
      </c>
      <c r="AG57" s="12" t="str">
        <f aca="false">IF(OR(AC57="",H57=""),"",H57/AC57-1)</f>
        <v/>
      </c>
      <c r="AH57" s="7"/>
    </row>
    <row r="58" customFormat="false" ht="15.75" hidden="false" customHeight="true" outlineLevel="0" collapsed="false">
      <c r="A58" s="3" t="n">
        <v>241000104</v>
      </c>
      <c r="B58" s="3" t="s">
        <v>146</v>
      </c>
      <c r="D58" s="3" t="s">
        <v>82</v>
      </c>
      <c r="E58" s="3" t="s">
        <v>70</v>
      </c>
      <c r="F58" s="4"/>
      <c r="G58" s="5"/>
      <c r="H58" s="5" t="n">
        <v>10000</v>
      </c>
      <c r="I58" s="3" t="n">
        <v>1</v>
      </c>
      <c r="K58" s="6" t="n">
        <f aca="false">I58-J58</f>
        <v>1</v>
      </c>
      <c r="L58" s="5" t="n">
        <f aca="false">K58*H58</f>
        <v>10000</v>
      </c>
      <c r="M58" s="5" t="n">
        <f aca="false">IF(A58="","",H58*J58)</f>
        <v>0</v>
      </c>
      <c r="N58" s="5" t="n">
        <f aca="false">IF(A58="","",G58*J58)</f>
        <v>0</v>
      </c>
      <c r="O58" s="5" t="n">
        <f aca="false">IF(A58="","",M58-N58)</f>
        <v>0</v>
      </c>
      <c r="Q58" s="7" t="s">
        <v>147</v>
      </c>
      <c r="R58" s="8"/>
      <c r="S58" s="8"/>
      <c r="T58" s="8"/>
      <c r="U58" s="8"/>
      <c r="V58" s="8"/>
      <c r="W58" s="8"/>
      <c r="X58" s="8"/>
      <c r="Y58" s="8"/>
      <c r="Z58" s="8"/>
      <c r="AA58" s="8"/>
      <c r="AB58" s="7" t="n">
        <f aca="false">SUMPRODUCT(--(R58:AA58&gt;0),'Настройки цен'!$B$12:$K$12)</f>
        <v>0</v>
      </c>
      <c r="AC58" s="9" t="str">
        <f aca="false">IF(AB58=0,"",SUMPRODUCT(R58:AA58,'Настройки цен'!$B$11:$K$11,'Настройки цен'!$B$12:$K$12)/AB58)</f>
        <v/>
      </c>
      <c r="AD58" s="10"/>
      <c r="AE58" s="11" t="n">
        <f aca="false">IF(AD58&lt;&gt;"",AD58,IFERROR(IF(INDEX('Настройки цен'!$B$17:$B$24,MATCH(E58,'Настройки цен'!$A$17:$A$24,0))="",'Настройки цен'!$B$5,INDEX('Настройки цен'!$B$17:$B$24,MATCH(E58,'Настройки цен'!$A$17:$A$24,0))),'Настройки цен'!$B$5))</f>
        <v>0</v>
      </c>
      <c r="AF58" s="9" t="str">
        <f aca="false">IF(AC58="","",ROUND(AC58*(1+AE58)/'Настройки цен'!$B$6,0)*'Настройки цен'!$B$6)</f>
        <v/>
      </c>
      <c r="AG58" s="12" t="str">
        <f aca="false">IF(OR(AC58="",H58=""),"",H58/AC58-1)</f>
        <v/>
      </c>
      <c r="AH58" s="7"/>
    </row>
    <row r="59" customFormat="false" ht="15.75" hidden="false" customHeight="true" outlineLevel="0" collapsed="false">
      <c r="A59" s="3" t="n">
        <v>24100010010</v>
      </c>
      <c r="B59" s="3" t="s">
        <v>148</v>
      </c>
      <c r="D59" s="3" t="s">
        <v>66</v>
      </c>
      <c r="E59" s="3" t="s">
        <v>70</v>
      </c>
      <c r="F59" s="4"/>
      <c r="G59" s="5"/>
      <c r="H59" s="5" t="n">
        <v>8000</v>
      </c>
      <c r="I59" s="3" t="n">
        <v>7</v>
      </c>
      <c r="K59" s="6" t="n">
        <f aca="false">I59-J59</f>
        <v>7</v>
      </c>
      <c r="L59" s="5" t="n">
        <f aca="false">K59*H59</f>
        <v>56000</v>
      </c>
      <c r="M59" s="5" t="n">
        <f aca="false">IF(A59="","",H59*J59)</f>
        <v>0</v>
      </c>
      <c r="N59" s="5" t="n">
        <f aca="false">IF(A59="","",G59*J59)</f>
        <v>0</v>
      </c>
      <c r="O59" s="5" t="n">
        <f aca="false">IF(A59="","",M59-N59)</f>
        <v>0</v>
      </c>
      <c r="Q59" s="7" t="s">
        <v>149</v>
      </c>
      <c r="R59" s="8"/>
      <c r="S59" s="8"/>
      <c r="T59" s="8"/>
      <c r="U59" s="8"/>
      <c r="V59" s="8"/>
      <c r="W59" s="8"/>
      <c r="X59" s="8"/>
      <c r="Y59" s="8"/>
      <c r="Z59" s="8"/>
      <c r="AA59" s="8"/>
      <c r="AB59" s="7" t="n">
        <f aca="false">SUMPRODUCT(--(R59:AA59&gt;0),'Настройки цен'!$B$12:$K$12)</f>
        <v>0</v>
      </c>
      <c r="AC59" s="9" t="str">
        <f aca="false">IF(AB59=0,"",SUMPRODUCT(R59:AA59,'Настройки цен'!$B$11:$K$11,'Настройки цен'!$B$12:$K$12)/AB59)</f>
        <v/>
      </c>
      <c r="AD59" s="10"/>
      <c r="AE59" s="11" t="n">
        <f aca="false">IF(AD59&lt;&gt;"",AD59,IFERROR(IF(INDEX('Настройки цен'!$B$17:$B$24,MATCH(E59,'Настройки цен'!$A$17:$A$24,0))="",'Настройки цен'!$B$5,INDEX('Настройки цен'!$B$17:$B$24,MATCH(E59,'Настройки цен'!$A$17:$A$24,0))),'Настройки цен'!$B$5))</f>
        <v>0</v>
      </c>
      <c r="AF59" s="9" t="str">
        <f aca="false">IF(AC59="","",ROUND(AC59*(1+AE59)/'Настройки цен'!$B$6,0)*'Настройки цен'!$B$6)</f>
        <v/>
      </c>
      <c r="AG59" s="12" t="str">
        <f aca="false">IF(OR(AC59="",H59=""),"",H59/AC59-1)</f>
        <v/>
      </c>
      <c r="AH59" s="7"/>
    </row>
    <row r="60" customFormat="false" ht="15.75" hidden="false" customHeight="true" outlineLevel="0" collapsed="false">
      <c r="A60" s="3" t="n">
        <v>24501601094</v>
      </c>
      <c r="B60" s="3" t="s">
        <v>150</v>
      </c>
      <c r="D60" s="3" t="s">
        <v>82</v>
      </c>
      <c r="E60" s="3" t="s">
        <v>55</v>
      </c>
      <c r="F60" s="4"/>
      <c r="G60" s="5"/>
      <c r="H60" s="5" t="n">
        <v>6000</v>
      </c>
      <c r="I60" s="3" t="n">
        <v>11</v>
      </c>
      <c r="K60" s="6" t="n">
        <f aca="false">I60-J60</f>
        <v>11</v>
      </c>
      <c r="L60" s="5" t="n">
        <f aca="false">K60*H60</f>
        <v>66000</v>
      </c>
      <c r="M60" s="5" t="n">
        <f aca="false">IF(A60="","",H60*J60)</f>
        <v>0</v>
      </c>
      <c r="N60" s="5" t="n">
        <f aca="false">IF(A60="","",G60*J60)</f>
        <v>0</v>
      </c>
      <c r="O60" s="5" t="n">
        <f aca="false">IF(A60="","",M60-N60)</f>
        <v>0</v>
      </c>
      <c r="Q60" s="7" t="s">
        <v>151</v>
      </c>
      <c r="R60" s="8"/>
      <c r="S60" s="8"/>
      <c r="T60" s="8"/>
      <c r="U60" s="8"/>
      <c r="V60" s="8"/>
      <c r="W60" s="8"/>
      <c r="X60" s="8"/>
      <c r="Y60" s="8"/>
      <c r="Z60" s="8"/>
      <c r="AA60" s="8"/>
      <c r="AB60" s="7" t="n">
        <f aca="false">SUMPRODUCT(--(R60:AA60&gt;0),'Настройки цен'!$B$12:$K$12)</f>
        <v>0</v>
      </c>
      <c r="AC60" s="9" t="str">
        <f aca="false">IF(AB60=0,"",SUMPRODUCT(R60:AA60,'Настройки цен'!$B$11:$K$11,'Настройки цен'!$B$12:$K$12)/AB60)</f>
        <v/>
      </c>
      <c r="AD60" s="10"/>
      <c r="AE60" s="11" t="n">
        <f aca="false">IF(AD60&lt;&gt;"",AD60,IFERROR(IF(INDEX('Настройки цен'!$B$17:$B$24,MATCH(E60,'Настройки цен'!$A$17:$A$24,0))="",'Настройки цен'!$B$5,INDEX('Настройки цен'!$B$17:$B$24,MATCH(E60,'Настройки цен'!$A$17:$A$24,0))),'Настройки цен'!$B$5))</f>
        <v>0</v>
      </c>
      <c r="AF60" s="9" t="str">
        <f aca="false">IF(AC60="","",ROUND(AC60*(1+AE60)/'Настройки цен'!$B$6,0)*'Настройки цен'!$B$6)</f>
        <v/>
      </c>
      <c r="AG60" s="12" t="str">
        <f aca="false">IF(OR(AC60="",H60=""),"",H60/AC60-1)</f>
        <v/>
      </c>
      <c r="AH60" s="7"/>
    </row>
    <row r="61" customFormat="false" ht="15.75" hidden="false" customHeight="true" outlineLevel="0" collapsed="false">
      <c r="B61" s="3" t="s">
        <v>152</v>
      </c>
      <c r="D61" s="3" t="s">
        <v>41</v>
      </c>
      <c r="E61" s="3" t="s">
        <v>55</v>
      </c>
      <c r="F61" s="4"/>
      <c r="G61" s="5"/>
      <c r="H61" s="5" t="n">
        <v>500</v>
      </c>
      <c r="I61" s="3" t="n">
        <v>143</v>
      </c>
      <c r="K61" s="6" t="n">
        <f aca="false">I61-J61</f>
        <v>143</v>
      </c>
      <c r="L61" s="5" t="n">
        <f aca="false">K61*H61</f>
        <v>71500</v>
      </c>
      <c r="M61" s="5" t="str">
        <f aca="false">IF(A61="","",H61*J61)</f>
        <v/>
      </c>
      <c r="N61" s="5" t="str">
        <f aca="false">IF(A61="","",G61*J61)</f>
        <v/>
      </c>
      <c r="O61" s="5" t="str">
        <f aca="false">IF(A61="","",M61-N61)</f>
        <v/>
      </c>
      <c r="Q61" s="7"/>
      <c r="R61" s="8"/>
      <c r="S61" s="8"/>
      <c r="T61" s="8"/>
      <c r="U61" s="8"/>
      <c r="V61" s="8"/>
      <c r="W61" s="8"/>
      <c r="X61" s="8"/>
      <c r="Y61" s="8"/>
      <c r="Z61" s="8"/>
      <c r="AA61" s="8"/>
      <c r="AB61" s="7" t="n">
        <f aca="false">SUMPRODUCT(--(R61:AA61&gt;0),'Настройки цен'!$B$12:$K$12)</f>
        <v>0</v>
      </c>
      <c r="AC61" s="9" t="str">
        <f aca="false">IF(AB61=0,"",SUMPRODUCT(R61:AA61,'Настройки цен'!$B$11:$K$11,'Настройки цен'!$B$12:$K$12)/AB61)</f>
        <v/>
      </c>
      <c r="AD61" s="10"/>
      <c r="AE61" s="11" t="n">
        <f aca="false">IF(AD61&lt;&gt;"",AD61,IFERROR(IF(INDEX('Настройки цен'!$B$17:$B$24,MATCH(E61,'Настройки цен'!$A$17:$A$24,0))="",'Настройки цен'!$B$5,INDEX('Настройки цен'!$B$17:$B$24,MATCH(E61,'Настройки цен'!$A$17:$A$24,0))),'Настройки цен'!$B$5))</f>
        <v>0</v>
      </c>
      <c r="AF61" s="9" t="str">
        <f aca="false">IF(AC61="","",ROUND(AC61*(1+AE61)/'Настройки цен'!$B$6,0)*'Настройки цен'!$B$6)</f>
        <v/>
      </c>
      <c r="AG61" s="12" t="str">
        <f aca="false">IF(OR(AC61="",H61=""),"",H61/AC61-1)</f>
        <v/>
      </c>
      <c r="AH61" s="7"/>
    </row>
    <row r="62" customFormat="false" ht="15.75" hidden="false" customHeight="true" outlineLevel="0" collapsed="false">
      <c r="B62" s="3" t="s">
        <v>153</v>
      </c>
      <c r="D62" s="3" t="s">
        <v>82</v>
      </c>
      <c r="E62" s="3" t="s">
        <v>70</v>
      </c>
      <c r="F62" s="4"/>
      <c r="G62" s="5"/>
      <c r="H62" s="5" t="n">
        <v>7000</v>
      </c>
      <c r="I62" s="3" t="n">
        <v>7</v>
      </c>
      <c r="K62" s="6" t="n">
        <f aca="false">I62-J62</f>
        <v>7</v>
      </c>
      <c r="L62" s="5" t="n">
        <f aca="false">K62*H62</f>
        <v>49000</v>
      </c>
      <c r="M62" s="5" t="str">
        <f aca="false">IF(A62="","",H62*J62)</f>
        <v/>
      </c>
      <c r="N62" s="5" t="str">
        <f aca="false">IF(A62="","",G62*J62)</f>
        <v/>
      </c>
      <c r="O62" s="5" t="str">
        <f aca="false">IF(A62="","",M62-N62)</f>
        <v/>
      </c>
      <c r="Q62" s="7"/>
      <c r="R62" s="8"/>
      <c r="S62" s="8"/>
      <c r="T62" s="8"/>
      <c r="U62" s="8"/>
      <c r="V62" s="8"/>
      <c r="W62" s="8"/>
      <c r="X62" s="8"/>
      <c r="Y62" s="8"/>
      <c r="Z62" s="8"/>
      <c r="AA62" s="8"/>
      <c r="AB62" s="7" t="n">
        <f aca="false">SUMPRODUCT(--(R62:AA62&gt;0),'Настройки цен'!$B$12:$K$12)</f>
        <v>0</v>
      </c>
      <c r="AC62" s="9" t="str">
        <f aca="false">IF(AB62=0,"",SUMPRODUCT(R62:AA62,'Настройки цен'!$B$11:$K$11,'Настройки цен'!$B$12:$K$12)/AB62)</f>
        <v/>
      </c>
      <c r="AD62" s="10"/>
      <c r="AE62" s="11" t="n">
        <f aca="false">IF(AD62&lt;&gt;"",AD62,IFERROR(IF(INDEX('Настройки цен'!$B$17:$B$24,MATCH(E62,'Настройки цен'!$A$17:$A$24,0))="",'Настройки цен'!$B$5,INDEX('Настройки цен'!$B$17:$B$24,MATCH(E62,'Настройки цен'!$A$17:$A$24,0))),'Настройки цен'!$B$5))</f>
        <v>0</v>
      </c>
      <c r="AF62" s="9" t="str">
        <f aca="false">IF(AC62="","",ROUND(AC62*(1+AE62)/'Настройки цен'!$B$6,0)*'Настройки цен'!$B$6)</f>
        <v/>
      </c>
      <c r="AG62" s="12" t="str">
        <f aca="false">IF(OR(AC62="",H62=""),"",H62/AC62-1)</f>
        <v/>
      </c>
      <c r="AH62" s="7"/>
    </row>
    <row r="63" customFormat="false" ht="15.75" hidden="false" customHeight="true" outlineLevel="0" collapsed="false">
      <c r="B63" s="3" t="s">
        <v>154</v>
      </c>
      <c r="D63" s="3" t="s">
        <v>41</v>
      </c>
      <c r="E63" s="3" t="s">
        <v>37</v>
      </c>
      <c r="F63" s="4"/>
      <c r="G63" s="5"/>
      <c r="H63" s="5" t="n">
        <v>3000</v>
      </c>
      <c r="I63" s="3" t="n">
        <v>22</v>
      </c>
      <c r="K63" s="6" t="n">
        <f aca="false">I63-J63</f>
        <v>22</v>
      </c>
      <c r="L63" s="5" t="n">
        <f aca="false">K63*H63</f>
        <v>66000</v>
      </c>
      <c r="M63" s="5" t="str">
        <f aca="false">IF(A63="","",H63*J63)</f>
        <v/>
      </c>
      <c r="N63" s="5" t="str">
        <f aca="false">IF(A63="","",G63*J63)</f>
        <v/>
      </c>
      <c r="O63" s="5" t="str">
        <f aca="false">IF(A63="","",M63-N63)</f>
        <v/>
      </c>
      <c r="Q63" s="7"/>
      <c r="R63" s="8"/>
      <c r="S63" s="8"/>
      <c r="T63" s="8"/>
      <c r="U63" s="8"/>
      <c r="V63" s="8"/>
      <c r="W63" s="8"/>
      <c r="X63" s="8"/>
      <c r="Y63" s="8"/>
      <c r="Z63" s="8"/>
      <c r="AA63" s="8"/>
      <c r="AB63" s="7" t="n">
        <f aca="false">SUMPRODUCT(--(R63:AA63&gt;0),'Настройки цен'!$B$12:$K$12)</f>
        <v>0</v>
      </c>
      <c r="AC63" s="9" t="str">
        <f aca="false">IF(AB63=0,"",SUMPRODUCT(R63:AA63,'Настройки цен'!$B$11:$K$11,'Настройки цен'!$B$12:$K$12)/AB63)</f>
        <v/>
      </c>
      <c r="AD63" s="10"/>
      <c r="AE63" s="11" t="n">
        <f aca="false">IF(AD63&lt;&gt;"",AD63,IFERROR(IF(INDEX('Настройки цен'!$B$17:$B$24,MATCH(E63,'Настройки цен'!$A$17:$A$24,0))="",'Настройки цен'!$B$5,INDEX('Настройки цен'!$B$17:$B$24,MATCH(E63,'Настройки цен'!$A$17:$A$24,0))),'Настройки цен'!$B$5))</f>
        <v>0</v>
      </c>
      <c r="AF63" s="9" t="str">
        <f aca="false">IF(AC63="","",ROUND(AC63*(1+AE63)/'Настройки цен'!$B$6,0)*'Настройки цен'!$B$6)</f>
        <v/>
      </c>
      <c r="AG63" s="12" t="str">
        <f aca="false">IF(OR(AC63="",H63=""),"",H63/AC63-1)</f>
        <v/>
      </c>
      <c r="AH63" s="7"/>
    </row>
    <row r="64" customFormat="false" ht="15.75" hidden="false" customHeight="true" outlineLevel="0" collapsed="false">
      <c r="B64" s="3" t="s">
        <v>155</v>
      </c>
      <c r="D64" s="3" t="s">
        <v>66</v>
      </c>
      <c r="E64" s="3" t="s">
        <v>111</v>
      </c>
      <c r="F64" s="4"/>
      <c r="G64" s="5"/>
      <c r="H64" s="5" t="n">
        <v>1500</v>
      </c>
      <c r="I64" s="3" t="n">
        <v>17</v>
      </c>
      <c r="K64" s="6" t="n">
        <f aca="false">I64-J64</f>
        <v>17</v>
      </c>
      <c r="L64" s="5" t="n">
        <f aca="false">K64*H64</f>
        <v>25500</v>
      </c>
      <c r="M64" s="5" t="str">
        <f aca="false">IF(A64="","",H64*J64)</f>
        <v/>
      </c>
      <c r="N64" s="5" t="str">
        <f aca="false">IF(A64="","",G64*J64)</f>
        <v/>
      </c>
      <c r="O64" s="5" t="str">
        <f aca="false">IF(A64="","",M64-N64)</f>
        <v/>
      </c>
      <c r="Q64" s="7"/>
      <c r="R64" s="8"/>
      <c r="S64" s="8"/>
      <c r="T64" s="8"/>
      <c r="U64" s="8"/>
      <c r="V64" s="8"/>
      <c r="W64" s="8"/>
      <c r="X64" s="8"/>
      <c r="Y64" s="8"/>
      <c r="Z64" s="8"/>
      <c r="AA64" s="8"/>
      <c r="AB64" s="7" t="n">
        <f aca="false">SUMPRODUCT(--(R64:AA64&gt;0),'Настройки цен'!$B$12:$K$12)</f>
        <v>0</v>
      </c>
      <c r="AC64" s="9" t="str">
        <f aca="false">IF(AB64=0,"",SUMPRODUCT(R64:AA64,'Настройки цен'!$B$11:$K$11,'Настройки цен'!$B$12:$K$12)/AB64)</f>
        <v/>
      </c>
      <c r="AD64" s="10"/>
      <c r="AE64" s="11" t="n">
        <f aca="false">IF(AD64&lt;&gt;"",AD64,IFERROR(IF(INDEX('Настройки цен'!$B$17:$B$24,MATCH(E64,'Настройки цен'!$A$17:$A$24,0))="",'Настройки цен'!$B$5,INDEX('Настройки цен'!$B$17:$B$24,MATCH(E64,'Настройки цен'!$A$17:$A$24,0))),'Настройки цен'!$B$5))</f>
        <v>0</v>
      </c>
      <c r="AF64" s="9" t="str">
        <f aca="false">IF(AC64="","",ROUND(AC64*(1+AE64)/'Настройки цен'!$B$6,0)*'Настройки цен'!$B$6)</f>
        <v/>
      </c>
      <c r="AG64" s="12" t="str">
        <f aca="false">IF(OR(AC64="",H64=""),"",H64/AC64-1)</f>
        <v/>
      </c>
      <c r="AH64" s="7"/>
    </row>
    <row r="65" customFormat="false" ht="15.75" hidden="false" customHeight="true" outlineLevel="0" collapsed="false">
      <c r="B65" s="3" t="s">
        <v>156</v>
      </c>
      <c r="D65" s="3" t="s">
        <v>82</v>
      </c>
      <c r="E65" s="3" t="s">
        <v>37</v>
      </c>
      <c r="F65" s="4"/>
      <c r="G65" s="5"/>
      <c r="H65" s="5" t="n">
        <v>3000</v>
      </c>
      <c r="I65" s="3" t="n">
        <v>42</v>
      </c>
      <c r="K65" s="6" t="n">
        <f aca="false">I65-J65</f>
        <v>42</v>
      </c>
      <c r="L65" s="5" t="n">
        <f aca="false">K65*H65</f>
        <v>126000</v>
      </c>
      <c r="M65" s="5" t="str">
        <f aca="false">IF(A65="","",H65*J65)</f>
        <v/>
      </c>
      <c r="N65" s="5" t="str">
        <f aca="false">IF(A65="","",G65*J65)</f>
        <v/>
      </c>
      <c r="O65" s="5" t="str">
        <f aca="false">IF(A65="","",M65-N65)</f>
        <v/>
      </c>
      <c r="Q65" s="7"/>
      <c r="R65" s="8"/>
      <c r="S65" s="8"/>
      <c r="T65" s="8"/>
      <c r="U65" s="8"/>
      <c r="V65" s="8"/>
      <c r="W65" s="8"/>
      <c r="X65" s="8"/>
      <c r="Y65" s="8"/>
      <c r="Z65" s="8"/>
      <c r="AA65" s="8"/>
      <c r="AB65" s="7" t="n">
        <f aca="false">SUMPRODUCT(--(R65:AA65&gt;0),'Настройки цен'!$B$12:$K$12)</f>
        <v>0</v>
      </c>
      <c r="AC65" s="9" t="str">
        <f aca="false">IF(AB65=0,"",SUMPRODUCT(R65:AA65,'Настройки цен'!$B$11:$K$11,'Настройки цен'!$B$12:$K$12)/AB65)</f>
        <v/>
      </c>
      <c r="AD65" s="10"/>
      <c r="AE65" s="11" t="n">
        <f aca="false">IF(AD65&lt;&gt;"",AD65,IFERROR(IF(INDEX('Настройки цен'!$B$17:$B$24,MATCH(E65,'Настройки цен'!$A$17:$A$24,0))="",'Настройки цен'!$B$5,INDEX('Настройки цен'!$B$17:$B$24,MATCH(E65,'Настройки цен'!$A$17:$A$24,0))),'Настройки цен'!$B$5))</f>
        <v>0</v>
      </c>
      <c r="AF65" s="9" t="str">
        <f aca="false">IF(AC65="","",ROUND(AC65*(1+AE65)/'Настройки цен'!$B$6,0)*'Настройки цен'!$B$6)</f>
        <v/>
      </c>
      <c r="AG65" s="12" t="str">
        <f aca="false">IF(OR(AC65="",H65=""),"",H65/AC65-1)</f>
        <v/>
      </c>
      <c r="AH65" s="7"/>
    </row>
    <row r="66" customFormat="false" ht="15.75" hidden="false" customHeight="true" outlineLevel="0" collapsed="false">
      <c r="B66" s="3" t="s">
        <v>157</v>
      </c>
      <c r="D66" s="3" t="s">
        <v>41</v>
      </c>
      <c r="E66" s="3" t="s">
        <v>137</v>
      </c>
      <c r="F66" s="4"/>
      <c r="G66" s="5"/>
      <c r="H66" s="5" t="n">
        <v>5000</v>
      </c>
      <c r="I66" s="3" t="n">
        <v>3</v>
      </c>
      <c r="K66" s="6" t="n">
        <f aca="false">I66-J66</f>
        <v>3</v>
      </c>
      <c r="L66" s="5" t="n">
        <f aca="false">K66*H66</f>
        <v>15000</v>
      </c>
      <c r="M66" s="5" t="str">
        <f aca="false">IF(A66="","",H66*J66)</f>
        <v/>
      </c>
      <c r="N66" s="5" t="str">
        <f aca="false">IF(A66="","",G66*J66)</f>
        <v/>
      </c>
      <c r="O66" s="5" t="str">
        <f aca="false">IF(A66="","",M66-N66)</f>
        <v/>
      </c>
      <c r="Q66" s="7"/>
      <c r="R66" s="8"/>
      <c r="S66" s="8"/>
      <c r="T66" s="8"/>
      <c r="U66" s="8"/>
      <c r="V66" s="8"/>
      <c r="W66" s="8"/>
      <c r="X66" s="8"/>
      <c r="Y66" s="8"/>
      <c r="Z66" s="8"/>
      <c r="AA66" s="8"/>
      <c r="AB66" s="7" t="n">
        <f aca="false">SUMPRODUCT(--(R66:AA66&gt;0),'Настройки цен'!$B$12:$K$12)</f>
        <v>0</v>
      </c>
      <c r="AC66" s="9" t="str">
        <f aca="false">IF(AB66=0,"",SUMPRODUCT(R66:AA66,'Настройки цен'!$B$11:$K$11,'Настройки цен'!$B$12:$K$12)/AB66)</f>
        <v/>
      </c>
      <c r="AD66" s="10"/>
      <c r="AE66" s="11" t="n">
        <f aca="false">IF(AD66&lt;&gt;"",AD66,IFERROR(IF(INDEX('Настройки цен'!$B$17:$B$24,MATCH(E66,'Настройки цен'!$A$17:$A$24,0))="",'Настройки цен'!$B$5,INDEX('Настройки цен'!$B$17:$B$24,MATCH(E66,'Настройки цен'!$A$17:$A$24,0))),'Настройки цен'!$B$5))</f>
        <v>0</v>
      </c>
      <c r="AF66" s="9" t="str">
        <f aca="false">IF(AC66="","",ROUND(AC66*(1+AE66)/'Настройки цен'!$B$6,0)*'Настройки цен'!$B$6)</f>
        <v/>
      </c>
      <c r="AG66" s="12" t="str">
        <f aca="false">IF(OR(AC66="",H66=""),"",H66/AC66-1)</f>
        <v/>
      </c>
      <c r="AH66" s="7"/>
    </row>
    <row r="67" customFormat="false" ht="15.75" hidden="false" customHeight="true" outlineLevel="0" collapsed="false">
      <c r="B67" s="3" t="s">
        <v>158</v>
      </c>
      <c r="D67" s="3" t="s">
        <v>41</v>
      </c>
      <c r="E67" s="3" t="s">
        <v>70</v>
      </c>
      <c r="F67" s="4"/>
      <c r="G67" s="5"/>
      <c r="H67" s="5" t="n">
        <v>3000</v>
      </c>
      <c r="I67" s="3" t="n">
        <v>1</v>
      </c>
      <c r="K67" s="6" t="n">
        <f aca="false">I67-J67</f>
        <v>1</v>
      </c>
      <c r="L67" s="5" t="n">
        <f aca="false">K67*H67</f>
        <v>3000</v>
      </c>
      <c r="M67" s="5" t="str">
        <f aca="false">IF(A67="","",H67*J67)</f>
        <v/>
      </c>
      <c r="N67" s="5" t="str">
        <f aca="false">IF(A67="","",G67*J67)</f>
        <v/>
      </c>
      <c r="O67" s="5" t="str">
        <f aca="false">IF(A67="","",M67-N67)</f>
        <v/>
      </c>
      <c r="Q67" s="7"/>
      <c r="R67" s="8"/>
      <c r="S67" s="8"/>
      <c r="T67" s="8"/>
      <c r="U67" s="8"/>
      <c r="V67" s="8"/>
      <c r="W67" s="8"/>
      <c r="X67" s="8"/>
      <c r="Y67" s="8"/>
      <c r="Z67" s="8"/>
      <c r="AA67" s="8"/>
      <c r="AB67" s="7" t="n">
        <f aca="false">SUMPRODUCT(--(R67:AA67&gt;0),'Настройки цен'!$B$12:$K$12)</f>
        <v>0</v>
      </c>
      <c r="AC67" s="9" t="str">
        <f aca="false">IF(AB67=0,"",SUMPRODUCT(R67:AA67,'Настройки цен'!$B$11:$K$11,'Настройки цен'!$B$12:$K$12)/AB67)</f>
        <v/>
      </c>
      <c r="AD67" s="10"/>
      <c r="AE67" s="11" t="n">
        <f aca="false">IF(AD67&lt;&gt;"",AD67,IFERROR(IF(INDEX('Настройки цен'!$B$17:$B$24,MATCH(E67,'Настройки цен'!$A$17:$A$24,0))="",'Настройки цен'!$B$5,INDEX('Настройки цен'!$B$17:$B$24,MATCH(E67,'Настройки цен'!$A$17:$A$24,0))),'Настройки цен'!$B$5))</f>
        <v>0</v>
      </c>
      <c r="AF67" s="9" t="str">
        <f aca="false">IF(AC67="","",ROUND(AC67*(1+AE67)/'Настройки цен'!$B$6,0)*'Настройки цен'!$B$6)</f>
        <v/>
      </c>
      <c r="AG67" s="12" t="str">
        <f aca="false">IF(OR(AC67="",H67=""),"",H67/AC67-1)</f>
        <v/>
      </c>
      <c r="AH67" s="7"/>
    </row>
    <row r="68" customFormat="false" ht="15.75" hidden="false" customHeight="true" outlineLevel="0" collapsed="false">
      <c r="A68" s="3" t="n">
        <v>45150170105010</v>
      </c>
      <c r="B68" s="3" t="s">
        <v>159</v>
      </c>
      <c r="D68" s="3" t="s">
        <v>41</v>
      </c>
      <c r="E68" s="3" t="s">
        <v>55</v>
      </c>
      <c r="F68" s="4"/>
      <c r="G68" s="5"/>
      <c r="H68" s="5" t="n">
        <v>17000</v>
      </c>
      <c r="I68" s="3" t="n">
        <v>4</v>
      </c>
      <c r="K68" s="6" t="n">
        <f aca="false">I68-J68</f>
        <v>4</v>
      </c>
      <c r="L68" s="5" t="n">
        <f aca="false">K68*H68</f>
        <v>68000</v>
      </c>
      <c r="M68" s="5" t="n">
        <f aca="false">IF(A68="","",H68*J68)</f>
        <v>0</v>
      </c>
      <c r="N68" s="5" t="n">
        <f aca="false">IF(A68="","",G68*J68)</f>
        <v>0</v>
      </c>
      <c r="O68" s="5" t="n">
        <f aca="false">IF(A68="","",M68-N68)</f>
        <v>0</v>
      </c>
      <c r="Q68" s="7" t="s">
        <v>160</v>
      </c>
      <c r="R68" s="8"/>
      <c r="S68" s="8"/>
      <c r="T68" s="8"/>
      <c r="U68" s="8"/>
      <c r="V68" s="8"/>
      <c r="W68" s="8"/>
      <c r="X68" s="8"/>
      <c r="Y68" s="8"/>
      <c r="Z68" s="8"/>
      <c r="AA68" s="8"/>
      <c r="AB68" s="7" t="n">
        <f aca="false">SUMPRODUCT(--(R68:AA68&gt;0),'Настройки цен'!$B$12:$K$12)</f>
        <v>0</v>
      </c>
      <c r="AC68" s="9" t="str">
        <f aca="false">IF(AB68=0,"",SUMPRODUCT(R68:AA68,'Настройки цен'!$B$11:$K$11,'Настройки цен'!$B$12:$K$12)/AB68)</f>
        <v/>
      </c>
      <c r="AD68" s="10"/>
      <c r="AE68" s="11" t="n">
        <f aca="false">IF(AD68&lt;&gt;"",AD68,IFERROR(IF(INDEX('Настройки цен'!$B$17:$B$24,MATCH(E68,'Настройки цен'!$A$17:$A$24,0))="",'Настройки цен'!$B$5,INDEX('Настройки цен'!$B$17:$B$24,MATCH(E68,'Настройки цен'!$A$17:$A$24,0))),'Настройки цен'!$B$5))</f>
        <v>0</v>
      </c>
      <c r="AF68" s="9" t="str">
        <f aca="false">IF(AC68="","",ROUND(AC68*(1+AE68)/'Настройки цен'!$B$6,0)*'Настройки цен'!$B$6)</f>
        <v/>
      </c>
      <c r="AG68" s="12" t="str">
        <f aca="false">IF(OR(AC68="",H68=""),"",H68/AC68-1)</f>
        <v/>
      </c>
      <c r="AH68" s="7"/>
    </row>
    <row r="69" customFormat="false" ht="15.75" hidden="false" customHeight="true" outlineLevel="0" collapsed="false">
      <c r="A69" s="3" t="n">
        <v>6900230408000</v>
      </c>
      <c r="B69" s="3" t="s">
        <v>161</v>
      </c>
      <c r="D69" s="3" t="s">
        <v>41</v>
      </c>
      <c r="E69" s="3" t="s">
        <v>55</v>
      </c>
      <c r="F69" s="4"/>
      <c r="G69" s="5"/>
      <c r="H69" s="5" t="n">
        <v>30000</v>
      </c>
      <c r="I69" s="3" t="n">
        <v>6</v>
      </c>
      <c r="K69" s="6" t="n">
        <f aca="false">I69-J69</f>
        <v>6</v>
      </c>
      <c r="L69" s="5" t="n">
        <f aca="false">K69*H69</f>
        <v>180000</v>
      </c>
      <c r="M69" s="5" t="n">
        <f aca="false">IF(A69="","",H69*J69)</f>
        <v>0</v>
      </c>
      <c r="N69" s="5" t="n">
        <f aca="false">IF(A69="","",G69*J69)</f>
        <v>0</v>
      </c>
      <c r="O69" s="5" t="n">
        <f aca="false">IF(A69="","",M69-N69)</f>
        <v>0</v>
      </c>
      <c r="Q69" s="7" t="s">
        <v>162</v>
      </c>
      <c r="R69" s="8"/>
      <c r="S69" s="8"/>
      <c r="T69" s="8"/>
      <c r="U69" s="8"/>
      <c r="V69" s="8"/>
      <c r="W69" s="8"/>
      <c r="X69" s="8"/>
      <c r="Y69" s="8"/>
      <c r="Z69" s="8"/>
      <c r="AA69" s="8"/>
      <c r="AB69" s="7" t="n">
        <f aca="false">SUMPRODUCT(--(R69:AA69&gt;0),'Настройки цен'!$B$12:$K$12)</f>
        <v>0</v>
      </c>
      <c r="AC69" s="9" t="str">
        <f aca="false">IF(AB69=0,"",SUMPRODUCT(R69:AA69,'Настройки цен'!$B$11:$K$11,'Настройки цен'!$B$12:$K$12)/AB69)</f>
        <v/>
      </c>
      <c r="AD69" s="10"/>
      <c r="AE69" s="11" t="n">
        <f aca="false">IF(AD69&lt;&gt;"",AD69,IFERROR(IF(INDEX('Настройки цен'!$B$17:$B$24,MATCH(E69,'Настройки цен'!$A$17:$A$24,0))="",'Настройки цен'!$B$5,INDEX('Настройки цен'!$B$17:$B$24,MATCH(E69,'Настройки цен'!$A$17:$A$24,0))),'Настройки цен'!$B$5))</f>
        <v>0</v>
      </c>
      <c r="AF69" s="9" t="str">
        <f aca="false">IF(AC69="","",ROUND(AC69*(1+AE69)/'Настройки цен'!$B$6,0)*'Настройки цен'!$B$6)</f>
        <v/>
      </c>
      <c r="AG69" s="12" t="str">
        <f aca="false">IF(OR(AC69="",H69=""),"",H69/AC69-1)</f>
        <v/>
      </c>
      <c r="AH69" s="7"/>
    </row>
    <row r="70" customFormat="false" ht="15.75" hidden="false" customHeight="true" outlineLevel="0" collapsed="false">
      <c r="A70" s="3" t="n">
        <v>46900170104600</v>
      </c>
      <c r="B70" s="3" t="s">
        <v>163</v>
      </c>
      <c r="D70" s="3" t="s">
        <v>41</v>
      </c>
      <c r="E70" s="3" t="s">
        <v>55</v>
      </c>
      <c r="F70" s="4"/>
      <c r="G70" s="5"/>
      <c r="H70" s="5" t="n">
        <v>40000</v>
      </c>
      <c r="I70" s="3" t="n">
        <v>4</v>
      </c>
      <c r="K70" s="6" t="n">
        <f aca="false">I70-J70</f>
        <v>4</v>
      </c>
      <c r="L70" s="5" t="n">
        <f aca="false">K70*H70</f>
        <v>160000</v>
      </c>
      <c r="M70" s="5" t="n">
        <f aca="false">IF(A70="","",H70*J70)</f>
        <v>0</v>
      </c>
      <c r="N70" s="5" t="n">
        <f aca="false">IF(A70="","",G70*J70)</f>
        <v>0</v>
      </c>
      <c r="O70" s="5" t="n">
        <f aca="false">IF(A70="","",M70-N70)</f>
        <v>0</v>
      </c>
      <c r="Q70" s="7" t="s">
        <v>164</v>
      </c>
      <c r="R70" s="8"/>
      <c r="S70" s="8"/>
      <c r="T70" s="8"/>
      <c r="U70" s="8"/>
      <c r="V70" s="8"/>
      <c r="W70" s="8"/>
      <c r="X70" s="8"/>
      <c r="Y70" s="8"/>
      <c r="Z70" s="8"/>
      <c r="AA70" s="8"/>
      <c r="AB70" s="7" t="n">
        <f aca="false">SUMPRODUCT(--(R70:AA70&gt;0),'Настройки цен'!$B$12:$K$12)</f>
        <v>0</v>
      </c>
      <c r="AC70" s="9" t="str">
        <f aca="false">IF(AB70=0,"",SUMPRODUCT(R70:AA70,'Настройки цен'!$B$11:$K$11,'Настройки цен'!$B$12:$K$12)/AB70)</f>
        <v/>
      </c>
      <c r="AD70" s="10"/>
      <c r="AE70" s="11" t="n">
        <f aca="false">IF(AD70&lt;&gt;"",AD70,IFERROR(IF(INDEX('Настройки цен'!$B$17:$B$24,MATCH(E70,'Настройки цен'!$A$17:$A$24,0))="",'Настройки цен'!$B$5,INDEX('Настройки цен'!$B$17:$B$24,MATCH(E70,'Настройки цен'!$A$17:$A$24,0))),'Настройки цен'!$B$5))</f>
        <v>0</v>
      </c>
      <c r="AF70" s="9" t="str">
        <f aca="false">IF(AC70="","",ROUND(AC70*(1+AE70)/'Настройки цен'!$B$6,0)*'Настройки цен'!$B$6)</f>
        <v/>
      </c>
      <c r="AG70" s="12" t="str">
        <f aca="false">IF(OR(AC70="",H70=""),"",H70/AC70-1)</f>
        <v/>
      </c>
      <c r="AH70" s="7"/>
    </row>
    <row r="71" customFormat="false" ht="15.75" hidden="false" customHeight="true" outlineLevel="0" collapsed="false">
      <c r="A71" s="3" t="n">
        <v>53121701302</v>
      </c>
      <c r="B71" s="3" t="s">
        <v>165</v>
      </c>
      <c r="D71" s="3" t="s">
        <v>66</v>
      </c>
      <c r="E71" s="3" t="s">
        <v>55</v>
      </c>
      <c r="F71" s="4"/>
      <c r="G71" s="5"/>
      <c r="H71" s="5" t="n">
        <v>16000</v>
      </c>
      <c r="I71" s="3" t="n">
        <v>7</v>
      </c>
      <c r="K71" s="6" t="n">
        <f aca="false">I71-J71</f>
        <v>7</v>
      </c>
      <c r="L71" s="5" t="n">
        <f aca="false">K71*H71</f>
        <v>112000</v>
      </c>
      <c r="M71" s="5" t="n">
        <f aca="false">IF(A71="","",H71*J71)</f>
        <v>0</v>
      </c>
      <c r="N71" s="5" t="n">
        <f aca="false">IF(A71="","",G71*J71)</f>
        <v>0</v>
      </c>
      <c r="O71" s="5" t="n">
        <f aca="false">IF(A71="","",M71-N71)</f>
        <v>0</v>
      </c>
      <c r="Q71" s="7" t="s">
        <v>166</v>
      </c>
      <c r="R71" s="8"/>
      <c r="S71" s="8"/>
      <c r="T71" s="8"/>
      <c r="U71" s="8"/>
      <c r="V71" s="8"/>
      <c r="W71" s="8"/>
      <c r="X71" s="8"/>
      <c r="Y71" s="8"/>
      <c r="Z71" s="8"/>
      <c r="AA71" s="8"/>
      <c r="AB71" s="7" t="n">
        <f aca="false">SUMPRODUCT(--(R71:AA71&gt;0),'Настройки цен'!$B$12:$K$12)</f>
        <v>0</v>
      </c>
      <c r="AC71" s="9" t="str">
        <f aca="false">IF(AB71=0,"",SUMPRODUCT(R71:AA71,'Настройки цен'!$B$11:$K$11,'Настройки цен'!$B$12:$K$12)/AB71)</f>
        <v/>
      </c>
      <c r="AD71" s="10"/>
      <c r="AE71" s="11" t="n">
        <f aca="false">IF(AD71&lt;&gt;"",AD71,IFERROR(IF(INDEX('Настройки цен'!$B$17:$B$24,MATCH(E71,'Настройки цен'!$A$17:$A$24,0))="",'Настройки цен'!$B$5,INDEX('Настройки цен'!$B$17:$B$24,MATCH(E71,'Настройки цен'!$A$17:$A$24,0))),'Настройки цен'!$B$5))</f>
        <v>0</v>
      </c>
      <c r="AF71" s="9" t="str">
        <f aca="false">IF(AC71="","",ROUND(AC71*(1+AE71)/'Настройки цен'!$B$6,0)*'Настройки цен'!$B$6)</f>
        <v/>
      </c>
      <c r="AG71" s="12" t="str">
        <f aca="false">IF(OR(AC71="",H71=""),"",H71/AC71-1)</f>
        <v/>
      </c>
      <c r="AH71" s="7"/>
    </row>
    <row r="72" customFormat="false" ht="15.75" hidden="false" customHeight="true" outlineLevel="0" collapsed="false">
      <c r="A72" s="3" t="s">
        <v>167</v>
      </c>
      <c r="B72" s="3" t="s">
        <v>168</v>
      </c>
      <c r="D72" s="3" t="s">
        <v>66</v>
      </c>
      <c r="E72" s="3" t="s">
        <v>55</v>
      </c>
      <c r="F72" s="4"/>
      <c r="G72" s="5"/>
      <c r="H72" s="5" t="n">
        <v>65000</v>
      </c>
      <c r="I72" s="3" t="n">
        <v>3</v>
      </c>
      <c r="K72" s="6" t="n">
        <f aca="false">I72-J72</f>
        <v>3</v>
      </c>
      <c r="L72" s="5" t="n">
        <f aca="false">K72*H72</f>
        <v>195000</v>
      </c>
      <c r="M72" s="5" t="n">
        <f aca="false">IF(A72="","",H72*J72)</f>
        <v>0</v>
      </c>
      <c r="N72" s="5" t="n">
        <f aca="false">IF(A72="","",G72*J72)</f>
        <v>0</v>
      </c>
      <c r="O72" s="5" t="n">
        <f aca="false">IF(A72="","",M72-N72)</f>
        <v>0</v>
      </c>
      <c r="Q72" s="7" t="s">
        <v>167</v>
      </c>
      <c r="R72" s="8"/>
      <c r="S72" s="8"/>
      <c r="T72" s="8"/>
      <c r="U72" s="8"/>
      <c r="V72" s="8"/>
      <c r="W72" s="8"/>
      <c r="X72" s="8"/>
      <c r="Y72" s="8"/>
      <c r="Z72" s="8"/>
      <c r="AA72" s="8"/>
      <c r="AB72" s="7" t="n">
        <f aca="false">SUMPRODUCT(--(R72:AA72&gt;0),'Настройки цен'!$B$12:$K$12)</f>
        <v>0</v>
      </c>
      <c r="AC72" s="9" t="str">
        <f aca="false">IF(AB72=0,"",SUMPRODUCT(R72:AA72,'Настройки цен'!$B$11:$K$11,'Настройки цен'!$B$12:$K$12)/AB72)</f>
        <v/>
      </c>
      <c r="AD72" s="10"/>
      <c r="AE72" s="11" t="n">
        <f aca="false">IF(AD72&lt;&gt;"",AD72,IFERROR(IF(INDEX('Настройки цен'!$B$17:$B$24,MATCH(E72,'Настройки цен'!$A$17:$A$24,0))="",'Настройки цен'!$B$5,INDEX('Настройки цен'!$B$17:$B$24,MATCH(E72,'Настройки цен'!$A$17:$A$24,0))),'Настройки цен'!$B$5))</f>
        <v>0</v>
      </c>
      <c r="AF72" s="9" t="str">
        <f aca="false">IF(AC72="","",ROUND(AC72*(1+AE72)/'Настройки цен'!$B$6,0)*'Настройки цен'!$B$6)</f>
        <v/>
      </c>
      <c r="AG72" s="12" t="str">
        <f aca="false">IF(OR(AC72="",H72=""),"",H72/AC72-1)</f>
        <v/>
      </c>
      <c r="AH72" s="7"/>
    </row>
    <row r="73" customFormat="false" ht="15.75" hidden="false" customHeight="true" outlineLevel="0" collapsed="false">
      <c r="A73" s="3"/>
      <c r="B73" s="3" t="s">
        <v>169</v>
      </c>
      <c r="D73" s="3" t="s">
        <v>66</v>
      </c>
      <c r="E73" s="3" t="s">
        <v>55</v>
      </c>
      <c r="F73" s="4"/>
      <c r="G73" s="5"/>
      <c r="H73" s="5" t="n">
        <v>35000</v>
      </c>
      <c r="I73" s="3" t="n">
        <v>1</v>
      </c>
      <c r="K73" s="6" t="n">
        <f aca="false">I73-J73</f>
        <v>1</v>
      </c>
      <c r="L73" s="5" t="n">
        <f aca="false">K73*H73</f>
        <v>35000</v>
      </c>
      <c r="M73" s="5" t="str">
        <f aca="false">IF(A73="","",H73*J73)</f>
        <v/>
      </c>
      <c r="N73" s="5" t="str">
        <f aca="false">IF(A73="","",G73*J73)</f>
        <v/>
      </c>
      <c r="O73" s="5" t="str">
        <f aca="false">IF(A73="","",M73-N73)</f>
        <v/>
      </c>
      <c r="Q73" s="7"/>
      <c r="R73" s="8"/>
      <c r="S73" s="8"/>
      <c r="T73" s="8"/>
      <c r="U73" s="8"/>
      <c r="V73" s="8"/>
      <c r="W73" s="8"/>
      <c r="X73" s="8"/>
      <c r="Y73" s="8"/>
      <c r="Z73" s="8"/>
      <c r="AA73" s="8"/>
      <c r="AB73" s="7" t="n">
        <f aca="false">SUMPRODUCT(--(R73:AA73&gt;0),'Настройки цен'!$B$12:$K$12)</f>
        <v>0</v>
      </c>
      <c r="AC73" s="9" t="str">
        <f aca="false">IF(AB73=0,"",SUMPRODUCT(R73:AA73,'Настройки цен'!$B$11:$K$11,'Настройки цен'!$B$12:$K$12)/AB73)</f>
        <v/>
      </c>
      <c r="AD73" s="10"/>
      <c r="AE73" s="11" t="n">
        <f aca="false">IF(AD73&lt;&gt;"",AD73,IFERROR(IF(INDEX('Настройки цен'!$B$17:$B$24,MATCH(E73,'Настройки цен'!$A$17:$A$24,0))="",'Настройки цен'!$B$5,INDEX('Настройки цен'!$B$17:$B$24,MATCH(E73,'Настройки цен'!$A$17:$A$24,0))),'Настройки цен'!$B$5))</f>
        <v>0</v>
      </c>
      <c r="AF73" s="9" t="str">
        <f aca="false">IF(AC73="","",ROUND(AC73*(1+AE73)/'Настройки цен'!$B$6,0)*'Настройки цен'!$B$6)</f>
        <v/>
      </c>
      <c r="AG73" s="12" t="str">
        <f aca="false">IF(OR(AC73="",H73=""),"",H73/AC73-1)</f>
        <v/>
      </c>
      <c r="AH73" s="7"/>
    </row>
    <row r="74" customFormat="false" ht="15.75" hidden="false" customHeight="true" outlineLevel="0" collapsed="false">
      <c r="A74" s="3" t="n">
        <v>451170201510</v>
      </c>
      <c r="B74" s="3" t="s">
        <v>170</v>
      </c>
      <c r="D74" s="3" t="s">
        <v>41</v>
      </c>
      <c r="E74" s="3" t="s">
        <v>55</v>
      </c>
      <c r="F74" s="4"/>
      <c r="G74" s="5"/>
      <c r="H74" s="5" t="n">
        <v>25000</v>
      </c>
      <c r="I74" s="3" t="n">
        <v>4</v>
      </c>
      <c r="K74" s="6" t="n">
        <f aca="false">I74-J74</f>
        <v>4</v>
      </c>
      <c r="L74" s="5" t="n">
        <f aca="false">K74*H74</f>
        <v>100000</v>
      </c>
      <c r="M74" s="5" t="n">
        <f aca="false">IF(A74="","",H74*J74)</f>
        <v>0</v>
      </c>
      <c r="N74" s="5" t="n">
        <f aca="false">IF(A74="","",G74*J74)</f>
        <v>0</v>
      </c>
      <c r="O74" s="5" t="n">
        <f aca="false">IF(A74="","",M74-N74)</f>
        <v>0</v>
      </c>
      <c r="Q74" s="7" t="s">
        <v>171</v>
      </c>
      <c r="R74" s="8"/>
      <c r="S74" s="8"/>
      <c r="T74" s="8"/>
      <c r="U74" s="8"/>
      <c r="V74" s="8"/>
      <c r="W74" s="8"/>
      <c r="X74" s="8"/>
      <c r="Y74" s="8"/>
      <c r="Z74" s="8"/>
      <c r="AA74" s="8"/>
      <c r="AB74" s="7" t="n">
        <f aca="false">SUMPRODUCT(--(R74:AA74&gt;0),'Настройки цен'!$B$12:$K$12)</f>
        <v>0</v>
      </c>
      <c r="AC74" s="9" t="str">
        <f aca="false">IF(AB74=0,"",SUMPRODUCT(R74:AA74,'Настройки цен'!$B$11:$K$11,'Настройки цен'!$B$12:$K$12)/AB74)</f>
        <v/>
      </c>
      <c r="AD74" s="10"/>
      <c r="AE74" s="11" t="n">
        <f aca="false">IF(AD74&lt;&gt;"",AD74,IFERROR(IF(INDEX('Настройки цен'!$B$17:$B$24,MATCH(E74,'Настройки цен'!$A$17:$A$24,0))="",'Настройки цен'!$B$5,INDEX('Настройки цен'!$B$17:$B$24,MATCH(E74,'Настройки цен'!$A$17:$A$24,0))),'Настройки цен'!$B$5))</f>
        <v>0</v>
      </c>
      <c r="AF74" s="9" t="str">
        <f aca="false">IF(AC74="","",ROUND(AC74*(1+AE74)/'Настройки цен'!$B$6,0)*'Настройки цен'!$B$6)</f>
        <v/>
      </c>
      <c r="AG74" s="12" t="str">
        <f aca="false">IF(OR(AC74="",H74=""),"",H74/AC74-1)</f>
        <v/>
      </c>
      <c r="AH74" s="7"/>
    </row>
    <row r="75" customFormat="false" ht="15.75" hidden="false" customHeight="true" outlineLevel="0" collapsed="false">
      <c r="B75" s="3" t="s">
        <v>172</v>
      </c>
      <c r="D75" s="3" t="s">
        <v>66</v>
      </c>
      <c r="E75" s="3" t="s">
        <v>55</v>
      </c>
      <c r="F75" s="4"/>
      <c r="G75" s="5"/>
      <c r="H75" s="5" t="n">
        <v>50000</v>
      </c>
      <c r="I75" s="3" t="n">
        <v>7</v>
      </c>
      <c r="K75" s="6" t="n">
        <f aca="false">I75-J75</f>
        <v>7</v>
      </c>
      <c r="L75" s="5" t="n">
        <f aca="false">K75*H75</f>
        <v>350000</v>
      </c>
      <c r="M75" s="5" t="str">
        <f aca="false">IF(A75="","",H75*J75)</f>
        <v/>
      </c>
      <c r="N75" s="5" t="str">
        <f aca="false">IF(A75="","",G75*J75)</f>
        <v/>
      </c>
      <c r="O75" s="5" t="str">
        <f aca="false">IF(A75="","",M75-N75)</f>
        <v/>
      </c>
      <c r="Q75" s="7"/>
      <c r="R75" s="8"/>
      <c r="S75" s="8"/>
      <c r="T75" s="8"/>
      <c r="U75" s="8"/>
      <c r="V75" s="8"/>
      <c r="W75" s="8"/>
      <c r="X75" s="8"/>
      <c r="Y75" s="8"/>
      <c r="Z75" s="8"/>
      <c r="AA75" s="8"/>
      <c r="AB75" s="7" t="n">
        <f aca="false">SUMPRODUCT(--(R75:AA75&gt;0),'Настройки цен'!$B$12:$K$12)</f>
        <v>0</v>
      </c>
      <c r="AC75" s="9" t="str">
        <f aca="false">IF(AB75=0,"",SUMPRODUCT(R75:AA75,'Настройки цен'!$B$11:$K$11,'Настройки цен'!$B$12:$K$12)/AB75)</f>
        <v/>
      </c>
      <c r="AD75" s="10"/>
      <c r="AE75" s="11" t="n">
        <f aca="false">IF(AD75&lt;&gt;"",AD75,IFERROR(IF(INDEX('Настройки цен'!$B$17:$B$24,MATCH(E75,'Настройки цен'!$A$17:$A$24,0))="",'Настройки цен'!$B$5,INDEX('Настройки цен'!$B$17:$B$24,MATCH(E75,'Настройки цен'!$A$17:$A$24,0))),'Настройки цен'!$B$5))</f>
        <v>0</v>
      </c>
      <c r="AF75" s="9" t="str">
        <f aca="false">IF(AC75="","",ROUND(AC75*(1+AE75)/'Настройки цен'!$B$6,0)*'Настройки цен'!$B$6)</f>
        <v/>
      </c>
      <c r="AG75" s="12" t="str">
        <f aca="false">IF(OR(AC75="",H75=""),"",H75/AC75-1)</f>
        <v/>
      </c>
      <c r="AH75" s="7"/>
    </row>
    <row r="76" customFormat="false" ht="15.75" hidden="false" customHeight="true" outlineLevel="0" collapsed="false">
      <c r="A76" s="3" t="n">
        <v>469170201530</v>
      </c>
      <c r="B76" s="3" t="s">
        <v>173</v>
      </c>
      <c r="D76" s="3" t="s">
        <v>41</v>
      </c>
      <c r="E76" s="3" t="s">
        <v>55</v>
      </c>
      <c r="F76" s="4"/>
      <c r="G76" s="5"/>
      <c r="H76" s="5" t="n">
        <v>25000</v>
      </c>
      <c r="I76" s="3" t="n">
        <v>1</v>
      </c>
      <c r="K76" s="6" t="n">
        <f aca="false">I76-J76</f>
        <v>1</v>
      </c>
      <c r="L76" s="5" t="n">
        <f aca="false">K76*H76</f>
        <v>25000</v>
      </c>
      <c r="M76" s="5" t="n">
        <f aca="false">IF(A76="","",H76*J76)</f>
        <v>0</v>
      </c>
      <c r="N76" s="5" t="n">
        <f aca="false">IF(A76="","",G76*J76)</f>
        <v>0</v>
      </c>
      <c r="O76" s="5" t="n">
        <f aca="false">IF(A76="","",M76-N76)</f>
        <v>0</v>
      </c>
      <c r="Q76" s="7" t="s">
        <v>174</v>
      </c>
      <c r="R76" s="8"/>
      <c r="S76" s="8"/>
      <c r="T76" s="8"/>
      <c r="U76" s="8"/>
      <c r="V76" s="8"/>
      <c r="W76" s="8"/>
      <c r="X76" s="8"/>
      <c r="Y76" s="8"/>
      <c r="Z76" s="8"/>
      <c r="AA76" s="8"/>
      <c r="AB76" s="7" t="n">
        <f aca="false">SUMPRODUCT(--(R76:AA76&gt;0),'Настройки цен'!$B$12:$K$12)</f>
        <v>0</v>
      </c>
      <c r="AC76" s="9" t="str">
        <f aca="false">IF(AB76=0,"",SUMPRODUCT(R76:AA76,'Настройки цен'!$B$11:$K$11,'Настройки цен'!$B$12:$K$12)/AB76)</f>
        <v/>
      </c>
      <c r="AD76" s="10"/>
      <c r="AE76" s="11" t="n">
        <f aca="false">IF(AD76&lt;&gt;"",AD76,IFERROR(IF(INDEX('Настройки цен'!$B$17:$B$24,MATCH(E76,'Настройки цен'!$A$17:$A$24,0))="",'Настройки цен'!$B$5,INDEX('Настройки цен'!$B$17:$B$24,MATCH(E76,'Настройки цен'!$A$17:$A$24,0))),'Настройки цен'!$B$5))</f>
        <v>0</v>
      </c>
      <c r="AF76" s="9" t="str">
        <f aca="false">IF(AC76="","",ROUND(AC76*(1+AE76)/'Настройки цен'!$B$6,0)*'Настройки цен'!$B$6)</f>
        <v/>
      </c>
      <c r="AG76" s="12" t="str">
        <f aca="false">IF(OR(AC76="",H76=""),"",H76/AC76-1)</f>
        <v/>
      </c>
      <c r="AH76" s="7"/>
    </row>
    <row r="77" customFormat="false" ht="15.75" hidden="false" customHeight="true" outlineLevel="0" collapsed="false">
      <c r="A77" s="3" t="n">
        <v>45150290244592</v>
      </c>
      <c r="B77" s="3" t="s">
        <v>175</v>
      </c>
      <c r="D77" s="3" t="s">
        <v>41</v>
      </c>
      <c r="E77" s="3" t="s">
        <v>55</v>
      </c>
      <c r="F77" s="4"/>
      <c r="G77" s="5"/>
      <c r="H77" s="5" t="n">
        <v>15000</v>
      </c>
      <c r="I77" s="3" t="n">
        <v>4</v>
      </c>
      <c r="K77" s="6" t="n">
        <f aca="false">I77-J77</f>
        <v>4</v>
      </c>
      <c r="L77" s="5" t="n">
        <f aca="false">K77*H77</f>
        <v>60000</v>
      </c>
      <c r="M77" s="5" t="n">
        <f aca="false">IF(A77="","",H77*J77)</f>
        <v>0</v>
      </c>
      <c r="N77" s="5" t="n">
        <f aca="false">IF(A77="","",G77*J77)</f>
        <v>0</v>
      </c>
      <c r="O77" s="5" t="n">
        <f aca="false">IF(A77="","",M77-N77)</f>
        <v>0</v>
      </c>
      <c r="Q77" s="7" t="s">
        <v>176</v>
      </c>
      <c r="R77" s="8"/>
      <c r="S77" s="8"/>
      <c r="T77" s="8"/>
      <c r="U77" s="8"/>
      <c r="V77" s="8"/>
      <c r="W77" s="8"/>
      <c r="X77" s="8"/>
      <c r="Y77" s="8"/>
      <c r="Z77" s="8"/>
      <c r="AA77" s="8"/>
      <c r="AB77" s="7" t="n">
        <f aca="false">SUMPRODUCT(--(R77:AA77&gt;0),'Настройки цен'!$B$12:$K$12)</f>
        <v>0</v>
      </c>
      <c r="AC77" s="9" t="str">
        <f aca="false">IF(AB77=0,"",SUMPRODUCT(R77:AA77,'Настройки цен'!$B$11:$K$11,'Настройки цен'!$B$12:$K$12)/AB77)</f>
        <v/>
      </c>
      <c r="AD77" s="10"/>
      <c r="AE77" s="11" t="n">
        <f aca="false">IF(AD77&lt;&gt;"",AD77,IFERROR(IF(INDEX('Настройки цен'!$B$17:$B$24,MATCH(E77,'Настройки цен'!$A$17:$A$24,0))="",'Настройки цен'!$B$5,INDEX('Настройки цен'!$B$17:$B$24,MATCH(E77,'Настройки цен'!$A$17:$A$24,0))),'Настройки цен'!$B$5))</f>
        <v>0</v>
      </c>
      <c r="AF77" s="9" t="str">
        <f aca="false">IF(AC77="","",ROUND(AC77*(1+AE77)/'Настройки цен'!$B$6,0)*'Настройки цен'!$B$6)</f>
        <v/>
      </c>
      <c r="AG77" s="12" t="str">
        <f aca="false">IF(OR(AC77="",H77=""),"",H77/AC77-1)</f>
        <v/>
      </c>
      <c r="AH77" s="7"/>
    </row>
    <row r="78" customFormat="false" ht="15.75" hidden="false" customHeight="true" outlineLevel="0" collapsed="false">
      <c r="A78" s="3" t="s">
        <v>177</v>
      </c>
      <c r="B78" s="3" t="s">
        <v>178</v>
      </c>
      <c r="D78" s="3" t="s">
        <v>41</v>
      </c>
      <c r="E78" s="3" t="s">
        <v>55</v>
      </c>
      <c r="F78" s="4"/>
      <c r="G78" s="5"/>
      <c r="H78" s="5" t="n">
        <v>17000</v>
      </c>
      <c r="I78" s="3" t="n">
        <v>3</v>
      </c>
      <c r="K78" s="6" t="n">
        <f aca="false">I78-J78</f>
        <v>3</v>
      </c>
      <c r="L78" s="5" t="n">
        <f aca="false">K78*H78</f>
        <v>51000</v>
      </c>
      <c r="M78" s="5" t="n">
        <f aca="false">IF(A78="","",H78*J78)</f>
        <v>0</v>
      </c>
      <c r="N78" s="5" t="n">
        <f aca="false">IF(A78="","",G78*J78)</f>
        <v>0</v>
      </c>
      <c r="O78" s="5" t="n">
        <f aca="false">IF(A78="","",M78-N78)</f>
        <v>0</v>
      </c>
      <c r="Q78" s="7" t="s">
        <v>177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7" t="n">
        <f aca="false">SUMPRODUCT(--(R78:AA78&gt;0),'Настройки цен'!$B$12:$K$12)</f>
        <v>0</v>
      </c>
      <c r="AC78" s="9" t="str">
        <f aca="false">IF(AB78=0,"",SUMPRODUCT(R78:AA78,'Настройки цен'!$B$11:$K$11,'Настройки цен'!$B$12:$K$12)/AB78)</f>
        <v/>
      </c>
      <c r="AD78" s="10"/>
      <c r="AE78" s="11" t="n">
        <f aca="false">IF(AD78&lt;&gt;"",AD78,IFERROR(IF(INDEX('Настройки цен'!$B$17:$B$24,MATCH(E78,'Настройки цен'!$A$17:$A$24,0))="",'Настройки цен'!$B$5,INDEX('Настройки цен'!$B$17:$B$24,MATCH(E78,'Настройки цен'!$A$17:$A$24,0))),'Настройки цен'!$B$5))</f>
        <v>0</v>
      </c>
      <c r="AF78" s="9" t="str">
        <f aca="false">IF(AC78="","",ROUND(AC78*(1+AE78)/'Настройки цен'!$B$6,0)*'Настройки цен'!$B$6)</f>
        <v/>
      </c>
      <c r="AG78" s="12" t="str">
        <f aca="false">IF(OR(AC78="",H78=""),"",H78/AC78-1)</f>
        <v/>
      </c>
      <c r="AH78" s="7"/>
    </row>
    <row r="79" customFormat="false" ht="15.75" hidden="false" customHeight="true" outlineLevel="0" collapsed="false">
      <c r="A79" s="3" t="n">
        <v>69180207501</v>
      </c>
      <c r="B79" s="3" t="s">
        <v>179</v>
      </c>
      <c r="D79" s="3" t="s">
        <v>41</v>
      </c>
      <c r="E79" s="3" t="s">
        <v>55</v>
      </c>
      <c r="F79" s="4"/>
      <c r="G79" s="5"/>
      <c r="H79" s="5" t="n">
        <v>7000</v>
      </c>
      <c r="I79" s="3" t="n">
        <v>6</v>
      </c>
      <c r="K79" s="6" t="n">
        <f aca="false">I79-J79</f>
        <v>6</v>
      </c>
      <c r="L79" s="5" t="n">
        <f aca="false">K79*H79</f>
        <v>42000</v>
      </c>
      <c r="M79" s="5" t="n">
        <f aca="false">IF(A79="","",H79*J79)</f>
        <v>0</v>
      </c>
      <c r="N79" s="5" t="n">
        <f aca="false">IF(A79="","",G79*J79)</f>
        <v>0</v>
      </c>
      <c r="O79" s="5" t="n">
        <f aca="false">IF(A79="","",M79-N79)</f>
        <v>0</v>
      </c>
      <c r="Q79" s="7" t="s">
        <v>180</v>
      </c>
      <c r="R79" s="8"/>
      <c r="S79" s="8"/>
      <c r="T79" s="8"/>
      <c r="U79" s="8"/>
      <c r="V79" s="8"/>
      <c r="W79" s="8"/>
      <c r="X79" s="8"/>
      <c r="Y79" s="8"/>
      <c r="Z79" s="8"/>
      <c r="AA79" s="8"/>
      <c r="AB79" s="7" t="n">
        <f aca="false">SUMPRODUCT(--(R79:AA79&gt;0),'Настройки цен'!$B$12:$K$12)</f>
        <v>0</v>
      </c>
      <c r="AC79" s="9" t="str">
        <f aca="false">IF(AB79=0,"",SUMPRODUCT(R79:AA79,'Настройки цен'!$B$11:$K$11,'Настройки цен'!$B$12:$K$12)/AB79)</f>
        <v/>
      </c>
      <c r="AD79" s="10"/>
      <c r="AE79" s="11" t="n">
        <f aca="false">IF(AD79&lt;&gt;"",AD79,IFERROR(IF(INDEX('Настройки цен'!$B$17:$B$24,MATCH(E79,'Настройки цен'!$A$17:$A$24,0))="",'Настройки цен'!$B$5,INDEX('Настройки цен'!$B$17:$B$24,MATCH(E79,'Настройки цен'!$A$17:$A$24,0))),'Настройки цен'!$B$5))</f>
        <v>0</v>
      </c>
      <c r="AF79" s="9" t="str">
        <f aca="false">IF(AC79="","",ROUND(AC79*(1+AE79)/'Настройки цен'!$B$6,0)*'Настройки цен'!$B$6)</f>
        <v/>
      </c>
      <c r="AG79" s="12" t="str">
        <f aca="false">IF(OR(AC79="",H79=""),"",H79/AC79-1)</f>
        <v/>
      </c>
      <c r="AH79" s="7"/>
    </row>
    <row r="80" customFormat="false" ht="15.75" hidden="false" customHeight="true" outlineLevel="0" collapsed="false">
      <c r="A80" s="3" t="n">
        <v>69310301501</v>
      </c>
      <c r="B80" s="3" t="s">
        <v>181</v>
      </c>
      <c r="D80" s="3" t="s">
        <v>82</v>
      </c>
      <c r="E80" s="3" t="s">
        <v>55</v>
      </c>
      <c r="F80" s="4"/>
      <c r="G80" s="5"/>
      <c r="H80" s="5" t="n">
        <v>17000</v>
      </c>
      <c r="I80" s="3" t="n">
        <v>4</v>
      </c>
      <c r="K80" s="6" t="n">
        <f aca="false">I80-J80</f>
        <v>4</v>
      </c>
      <c r="L80" s="5" t="n">
        <f aca="false">K80*H80</f>
        <v>68000</v>
      </c>
      <c r="M80" s="5" t="n">
        <f aca="false">IF(A80="","",H80*J80)</f>
        <v>0</v>
      </c>
      <c r="N80" s="5" t="n">
        <f aca="false">IF(A80="","",G80*J80)</f>
        <v>0</v>
      </c>
      <c r="O80" s="5" t="n">
        <f aca="false">IF(A80="","",M80-N80)</f>
        <v>0</v>
      </c>
      <c r="Q80" s="7" t="s">
        <v>182</v>
      </c>
      <c r="R80" s="8"/>
      <c r="S80" s="8"/>
      <c r="T80" s="8"/>
      <c r="U80" s="8"/>
      <c r="V80" s="8"/>
      <c r="W80" s="8"/>
      <c r="X80" s="8"/>
      <c r="Y80" s="8"/>
      <c r="Z80" s="8"/>
      <c r="AA80" s="8"/>
      <c r="AB80" s="7" t="n">
        <f aca="false">SUMPRODUCT(--(R80:AA80&gt;0),'Настройки цен'!$B$12:$K$12)</f>
        <v>0</v>
      </c>
      <c r="AC80" s="9" t="str">
        <f aca="false">IF(AB80=0,"",SUMPRODUCT(R80:AA80,'Настройки цен'!$B$11:$K$11,'Настройки цен'!$B$12:$K$12)/AB80)</f>
        <v/>
      </c>
      <c r="AD80" s="10"/>
      <c r="AE80" s="11" t="n">
        <f aca="false">IF(AD80&lt;&gt;"",AD80,IFERROR(IF(INDEX('Настройки цен'!$B$17:$B$24,MATCH(E80,'Настройки цен'!$A$17:$A$24,0))="",'Настройки цен'!$B$5,INDEX('Настройки цен'!$B$17:$B$24,MATCH(E80,'Настройки цен'!$A$17:$A$24,0))),'Настройки цен'!$B$5))</f>
        <v>0</v>
      </c>
      <c r="AF80" s="9" t="str">
        <f aca="false">IF(AC80="","",ROUND(AC80*(1+AE80)/'Настройки цен'!$B$6,0)*'Настройки цен'!$B$6)</f>
        <v/>
      </c>
      <c r="AG80" s="12" t="str">
        <f aca="false">IF(OR(AC80="",H80=""),"",H80/AC80-1)</f>
        <v/>
      </c>
      <c r="AH80" s="7"/>
    </row>
    <row r="81" customFormat="false" ht="15.75" hidden="false" customHeight="true" outlineLevel="0" collapsed="false">
      <c r="A81" s="3" t="n">
        <v>452170101522</v>
      </c>
      <c r="B81" s="3" t="s">
        <v>183</v>
      </c>
      <c r="D81" s="3" t="s">
        <v>41</v>
      </c>
      <c r="E81" s="3" t="s">
        <v>55</v>
      </c>
      <c r="F81" s="4"/>
      <c r="G81" s="5"/>
      <c r="H81" s="5" t="n">
        <v>65000</v>
      </c>
      <c r="I81" s="3" t="n">
        <v>2</v>
      </c>
      <c r="K81" s="6" t="n">
        <f aca="false">I81-J81</f>
        <v>2</v>
      </c>
      <c r="L81" s="5" t="n">
        <f aca="false">K81*H81</f>
        <v>130000</v>
      </c>
      <c r="M81" s="5" t="n">
        <f aca="false">IF(A81="","",H81*J81)</f>
        <v>0</v>
      </c>
      <c r="N81" s="5" t="n">
        <f aca="false">IF(A81="","",G81*J81)</f>
        <v>0</v>
      </c>
      <c r="O81" s="5" t="n">
        <f aca="false">IF(A81="","",M81-N81)</f>
        <v>0</v>
      </c>
      <c r="Q81" s="7" t="s">
        <v>184</v>
      </c>
      <c r="R81" s="8"/>
      <c r="S81" s="8"/>
      <c r="T81" s="8"/>
      <c r="U81" s="8"/>
      <c r="V81" s="8"/>
      <c r="W81" s="8"/>
      <c r="X81" s="8"/>
      <c r="Y81" s="8"/>
      <c r="Z81" s="8"/>
      <c r="AA81" s="8"/>
      <c r="AB81" s="7" t="n">
        <f aca="false">SUMPRODUCT(--(R81:AA81&gt;0),'Настройки цен'!$B$12:$K$12)</f>
        <v>0</v>
      </c>
      <c r="AC81" s="9" t="str">
        <f aca="false">IF(AB81=0,"",SUMPRODUCT(R81:AA81,'Настройки цен'!$B$11:$K$11,'Настройки цен'!$B$12:$K$12)/AB81)</f>
        <v/>
      </c>
      <c r="AD81" s="10"/>
      <c r="AE81" s="11" t="n">
        <f aca="false">IF(AD81&lt;&gt;"",AD81,IFERROR(IF(INDEX('Настройки цен'!$B$17:$B$24,MATCH(E81,'Настройки цен'!$A$17:$A$24,0))="",'Настройки цен'!$B$5,INDEX('Настройки цен'!$B$17:$B$24,MATCH(E81,'Настройки цен'!$A$17:$A$24,0))),'Настройки цен'!$B$5))</f>
        <v>0</v>
      </c>
      <c r="AF81" s="9" t="str">
        <f aca="false">IF(AC81="","",ROUND(AC81*(1+AE81)/'Настройки цен'!$B$6,0)*'Настройки цен'!$B$6)</f>
        <v/>
      </c>
      <c r="AG81" s="12" t="str">
        <f aca="false">IF(OR(AC81="",H81=""),"",H81/AC81-1)</f>
        <v/>
      </c>
      <c r="AH81" s="7"/>
    </row>
    <row r="82" customFormat="false" ht="15.75" hidden="false" customHeight="true" outlineLevel="0" collapsed="false">
      <c r="A82" s="3" t="n">
        <v>521701080</v>
      </c>
      <c r="B82" s="3" t="s">
        <v>185</v>
      </c>
      <c r="D82" s="3" t="s">
        <v>66</v>
      </c>
      <c r="E82" s="3" t="s">
        <v>55</v>
      </c>
      <c r="F82" s="4"/>
      <c r="G82" s="5"/>
      <c r="H82" s="5" t="n">
        <v>17000</v>
      </c>
      <c r="I82" s="3" t="n">
        <v>7</v>
      </c>
      <c r="K82" s="6" t="n">
        <f aca="false">I82-J82</f>
        <v>7</v>
      </c>
      <c r="L82" s="5" t="n">
        <f aca="false">K82*H82</f>
        <v>119000</v>
      </c>
      <c r="M82" s="5" t="n">
        <f aca="false">IF(A82="","",H82*J82)</f>
        <v>0</v>
      </c>
      <c r="N82" s="5" t="n">
        <f aca="false">IF(A82="","",G82*J82)</f>
        <v>0</v>
      </c>
      <c r="O82" s="5" t="n">
        <f aca="false">IF(A82="","",M82-N82)</f>
        <v>0</v>
      </c>
      <c r="Q82" s="7" t="s">
        <v>186</v>
      </c>
      <c r="R82" s="8"/>
      <c r="S82" s="8"/>
      <c r="T82" s="8"/>
      <c r="U82" s="8"/>
      <c r="V82" s="8"/>
      <c r="W82" s="8"/>
      <c r="X82" s="8"/>
      <c r="Y82" s="8"/>
      <c r="Z82" s="8"/>
      <c r="AA82" s="8"/>
      <c r="AB82" s="7" t="n">
        <f aca="false">SUMPRODUCT(--(R82:AA82&gt;0),'Настройки цен'!$B$12:$K$12)</f>
        <v>0</v>
      </c>
      <c r="AC82" s="9" t="str">
        <f aca="false">IF(AB82=0,"",SUMPRODUCT(R82:AA82,'Настройки цен'!$B$11:$K$11,'Настройки цен'!$B$12:$K$12)/AB82)</f>
        <v/>
      </c>
      <c r="AD82" s="10"/>
      <c r="AE82" s="11" t="n">
        <f aca="false">IF(AD82&lt;&gt;"",AD82,IFERROR(IF(INDEX('Настройки цен'!$B$17:$B$24,MATCH(E82,'Настройки цен'!$A$17:$A$24,0))="",'Настройки цен'!$B$5,INDEX('Настройки цен'!$B$17:$B$24,MATCH(E82,'Настройки цен'!$A$17:$A$24,0))),'Настройки цен'!$B$5))</f>
        <v>0</v>
      </c>
      <c r="AF82" s="9" t="str">
        <f aca="false">IF(AC82="","",ROUND(AC82*(1+AE82)/'Настройки цен'!$B$6,0)*'Настройки цен'!$B$6)</f>
        <v/>
      </c>
      <c r="AG82" s="12" t="str">
        <f aca="false">IF(OR(AC82="",H82=""),"",H82/AC82-1)</f>
        <v/>
      </c>
      <c r="AH82" s="7"/>
    </row>
    <row r="83" customFormat="false" ht="15.75" hidden="false" customHeight="true" outlineLevel="0" collapsed="false">
      <c r="A83" s="3" t="n">
        <v>521701111</v>
      </c>
      <c r="B83" s="3" t="s">
        <v>187</v>
      </c>
      <c r="D83" s="3" t="s">
        <v>66</v>
      </c>
      <c r="E83" s="3" t="s">
        <v>55</v>
      </c>
      <c r="F83" s="4"/>
      <c r="G83" s="5"/>
      <c r="H83" s="5" t="n">
        <v>20000</v>
      </c>
      <c r="I83" s="3" t="n">
        <v>2</v>
      </c>
      <c r="K83" s="6" t="n">
        <f aca="false">I83-J83</f>
        <v>2</v>
      </c>
      <c r="L83" s="5" t="n">
        <f aca="false">K83*H83</f>
        <v>40000</v>
      </c>
      <c r="M83" s="5" t="n">
        <f aca="false">IF(A83="","",H83*J83)</f>
        <v>0</v>
      </c>
      <c r="N83" s="5" t="n">
        <f aca="false">IF(A83="","",G83*J83)</f>
        <v>0</v>
      </c>
      <c r="O83" s="5" t="n">
        <f aca="false">IF(A83="","",M83-N83)</f>
        <v>0</v>
      </c>
      <c r="Q83" s="7" t="s">
        <v>188</v>
      </c>
      <c r="R83" s="8"/>
      <c r="S83" s="8"/>
      <c r="T83" s="8"/>
      <c r="U83" s="8"/>
      <c r="V83" s="8"/>
      <c r="W83" s="8"/>
      <c r="X83" s="8"/>
      <c r="Y83" s="8"/>
      <c r="Z83" s="8"/>
      <c r="AA83" s="8"/>
      <c r="AB83" s="7" t="n">
        <f aca="false">SUMPRODUCT(--(R83:AA83&gt;0),'Настройки цен'!$B$12:$K$12)</f>
        <v>0</v>
      </c>
      <c r="AC83" s="9" t="str">
        <f aca="false">IF(AB83=0,"",SUMPRODUCT(R83:AA83,'Настройки цен'!$B$11:$K$11,'Настройки цен'!$B$12:$K$12)/AB83)</f>
        <v/>
      </c>
      <c r="AD83" s="10"/>
      <c r="AE83" s="11" t="n">
        <f aca="false">IF(AD83&lt;&gt;"",AD83,IFERROR(IF(INDEX('Настройки цен'!$B$17:$B$24,MATCH(E83,'Настройки цен'!$A$17:$A$24,0))="",'Настройки цен'!$B$5,INDEX('Настройки цен'!$B$17:$B$24,MATCH(E83,'Настройки цен'!$A$17:$A$24,0))),'Настройки цен'!$B$5))</f>
        <v>0</v>
      </c>
      <c r="AF83" s="9" t="str">
        <f aca="false">IF(AC83="","",ROUND(AC83*(1+AE83)/'Настройки цен'!$B$6,0)*'Настройки цен'!$B$6)</f>
        <v/>
      </c>
      <c r="AG83" s="12" t="str">
        <f aca="false">IF(OR(AC83="",H83=""),"",H83/AC83-1)</f>
        <v/>
      </c>
      <c r="AH83" s="7"/>
    </row>
    <row r="84" customFormat="false" ht="15.75" hidden="false" customHeight="true" outlineLevel="0" collapsed="false">
      <c r="A84" s="3" t="n">
        <v>52170111031</v>
      </c>
      <c r="B84" s="3" t="s">
        <v>189</v>
      </c>
      <c r="D84" s="3" t="s">
        <v>66</v>
      </c>
      <c r="E84" s="3" t="s">
        <v>55</v>
      </c>
      <c r="F84" s="4"/>
      <c r="G84" s="5"/>
      <c r="H84" s="5" t="n">
        <v>20000</v>
      </c>
      <c r="I84" s="3" t="n">
        <v>3</v>
      </c>
      <c r="K84" s="6" t="n">
        <f aca="false">I84-J84</f>
        <v>3</v>
      </c>
      <c r="L84" s="5" t="n">
        <f aca="false">K84*H84</f>
        <v>60000</v>
      </c>
      <c r="M84" s="5" t="n">
        <f aca="false">IF(A84="","",H84*J84)</f>
        <v>0</v>
      </c>
      <c r="N84" s="5" t="n">
        <f aca="false">IF(A84="","",G84*J84)</f>
        <v>0</v>
      </c>
      <c r="O84" s="5" t="n">
        <f aca="false">IF(A84="","",M84-N84)</f>
        <v>0</v>
      </c>
      <c r="Q84" s="7" t="s">
        <v>190</v>
      </c>
      <c r="R84" s="8"/>
      <c r="S84" s="8"/>
      <c r="T84" s="8"/>
      <c r="U84" s="8"/>
      <c r="V84" s="8"/>
      <c r="W84" s="8"/>
      <c r="X84" s="8"/>
      <c r="Y84" s="8"/>
      <c r="Z84" s="8"/>
      <c r="AA84" s="8"/>
      <c r="AB84" s="7" t="n">
        <f aca="false">SUMPRODUCT(--(R84:AA84&gt;0),'Настройки цен'!$B$12:$K$12)</f>
        <v>0</v>
      </c>
      <c r="AC84" s="9" t="str">
        <f aca="false">IF(AB84=0,"",SUMPRODUCT(R84:AA84,'Настройки цен'!$B$11:$K$11,'Настройки цен'!$B$12:$K$12)/AB84)</f>
        <v/>
      </c>
      <c r="AD84" s="10"/>
      <c r="AE84" s="11" t="n">
        <f aca="false">IF(AD84&lt;&gt;"",AD84,IFERROR(IF(INDEX('Настройки цен'!$B$17:$B$24,MATCH(E84,'Настройки цен'!$A$17:$A$24,0))="",'Настройки цен'!$B$5,INDEX('Настройки цен'!$B$17:$B$24,MATCH(E84,'Настройки цен'!$A$17:$A$24,0))),'Настройки цен'!$B$5))</f>
        <v>0</v>
      </c>
      <c r="AF84" s="9" t="str">
        <f aca="false">IF(AC84="","",ROUND(AC84*(1+AE84)/'Настройки цен'!$B$6,0)*'Настройки цен'!$B$6)</f>
        <v/>
      </c>
      <c r="AG84" s="12" t="str">
        <f aca="false">IF(OR(AC84="",H84=""),"",H84/AC84-1)</f>
        <v/>
      </c>
      <c r="AH84" s="7"/>
    </row>
    <row r="85" customFormat="false" ht="15.75" hidden="false" customHeight="true" outlineLevel="0" collapsed="false">
      <c r="A85" s="3" t="n">
        <v>631802076</v>
      </c>
      <c r="B85" s="3" t="s">
        <v>191</v>
      </c>
      <c r="D85" s="3" t="s">
        <v>66</v>
      </c>
      <c r="E85" s="3" t="s">
        <v>55</v>
      </c>
      <c r="F85" s="4"/>
      <c r="G85" s="5"/>
      <c r="H85" s="5" t="n">
        <v>20000</v>
      </c>
      <c r="I85" s="3" t="n">
        <v>6</v>
      </c>
      <c r="K85" s="6" t="n">
        <f aca="false">I85-J85</f>
        <v>6</v>
      </c>
      <c r="L85" s="5" t="n">
        <f aca="false">K85*H85</f>
        <v>120000</v>
      </c>
      <c r="M85" s="5" t="n">
        <f aca="false">IF(A85="","",H85*J85)</f>
        <v>0</v>
      </c>
      <c r="N85" s="5" t="n">
        <f aca="false">IF(A85="","",G85*J85)</f>
        <v>0</v>
      </c>
      <c r="O85" s="5" t="n">
        <f aca="false">IF(A85="","",M85-N85)</f>
        <v>0</v>
      </c>
      <c r="Q85" s="7" t="s">
        <v>192</v>
      </c>
      <c r="R85" s="8"/>
      <c r="S85" s="8"/>
      <c r="T85" s="8"/>
      <c r="U85" s="8"/>
      <c r="V85" s="8"/>
      <c r="W85" s="8"/>
      <c r="X85" s="8"/>
      <c r="Y85" s="8"/>
      <c r="Z85" s="8"/>
      <c r="AA85" s="8"/>
      <c r="AB85" s="7" t="n">
        <f aca="false">SUMPRODUCT(--(R85:AA85&gt;0),'Настройки цен'!$B$12:$K$12)</f>
        <v>0</v>
      </c>
      <c r="AC85" s="9" t="str">
        <f aca="false">IF(AB85=0,"",SUMPRODUCT(R85:AA85,'Настройки цен'!$B$11:$K$11,'Настройки цен'!$B$12:$K$12)/AB85)</f>
        <v/>
      </c>
      <c r="AD85" s="10"/>
      <c r="AE85" s="11" t="n">
        <f aca="false">IF(AD85&lt;&gt;"",AD85,IFERROR(IF(INDEX('Настройки цен'!$B$17:$B$24,MATCH(E85,'Настройки цен'!$A$17:$A$24,0))="",'Настройки цен'!$B$5,INDEX('Настройки цен'!$B$17:$B$24,MATCH(E85,'Настройки цен'!$A$17:$A$24,0))),'Настройки цен'!$B$5))</f>
        <v>0</v>
      </c>
      <c r="AF85" s="9" t="str">
        <f aca="false">IF(AC85="","",ROUND(AC85*(1+AE85)/'Настройки цен'!$B$6,0)*'Настройки цен'!$B$6)</f>
        <v/>
      </c>
      <c r="AG85" s="12" t="str">
        <f aca="false">IF(OR(AC85="",H85=""),"",H85/AC85-1)</f>
        <v/>
      </c>
      <c r="AH85" s="7"/>
    </row>
    <row r="86" customFormat="false" ht="15.75" hidden="false" customHeight="true" outlineLevel="0" collapsed="false">
      <c r="A86" s="3" t="s">
        <v>193</v>
      </c>
      <c r="B86" s="3" t="s">
        <v>194</v>
      </c>
      <c r="D86" s="3" t="s">
        <v>41</v>
      </c>
      <c r="E86" s="3" t="s">
        <v>55</v>
      </c>
      <c r="F86" s="4"/>
      <c r="G86" s="5"/>
      <c r="H86" s="5" t="n">
        <v>5000</v>
      </c>
      <c r="I86" s="3" t="n">
        <v>1</v>
      </c>
      <c r="K86" s="6" t="n">
        <f aca="false">I86-J86</f>
        <v>1</v>
      </c>
      <c r="L86" s="5" t="n">
        <f aca="false">K86*H86</f>
        <v>5000</v>
      </c>
      <c r="M86" s="5" t="n">
        <f aca="false">IF(A86="","",H86*J86)</f>
        <v>0</v>
      </c>
      <c r="N86" s="5" t="n">
        <f aca="false">IF(A86="","",G86*J86)</f>
        <v>0</v>
      </c>
      <c r="O86" s="5" t="n">
        <f aca="false">IF(A86="","",M86-N86)</f>
        <v>0</v>
      </c>
      <c r="Q86" s="7" t="s">
        <v>193</v>
      </c>
      <c r="R86" s="8"/>
      <c r="S86" s="8"/>
      <c r="T86" s="8"/>
      <c r="U86" s="8"/>
      <c r="V86" s="8"/>
      <c r="W86" s="8"/>
      <c r="X86" s="8"/>
      <c r="Y86" s="8"/>
      <c r="Z86" s="8"/>
      <c r="AA86" s="8"/>
      <c r="AB86" s="7" t="n">
        <f aca="false">SUMPRODUCT(--(R86:AA86&gt;0),'Настройки цен'!$B$12:$K$12)</f>
        <v>0</v>
      </c>
      <c r="AC86" s="9" t="str">
        <f aca="false">IF(AB86=0,"",SUMPRODUCT(R86:AA86,'Настройки цен'!$B$11:$K$11,'Настройки цен'!$B$12:$K$12)/AB86)</f>
        <v/>
      </c>
      <c r="AD86" s="10"/>
      <c r="AE86" s="11" t="n">
        <f aca="false">IF(AD86&lt;&gt;"",AD86,IFERROR(IF(INDEX('Настройки цен'!$B$17:$B$24,MATCH(E86,'Настройки цен'!$A$17:$A$24,0))="",'Настройки цен'!$B$5,INDEX('Настройки цен'!$B$17:$B$24,MATCH(E86,'Настройки цен'!$A$17:$A$24,0))),'Настройки цен'!$B$5))</f>
        <v>0</v>
      </c>
      <c r="AF86" s="9" t="str">
        <f aca="false">IF(AC86="","",ROUND(AC86*(1+AE86)/'Настройки цен'!$B$6,0)*'Настройки цен'!$B$6)</f>
        <v/>
      </c>
      <c r="AG86" s="12" t="str">
        <f aca="false">IF(OR(AC86="",H86=""),"",H86/AC86-1)</f>
        <v/>
      </c>
      <c r="AH86" s="7"/>
    </row>
    <row r="87" customFormat="false" ht="15.75" hidden="false" customHeight="true" outlineLevel="0" collapsed="false">
      <c r="A87" s="3" t="n">
        <v>31513502040</v>
      </c>
      <c r="B87" s="3" t="s">
        <v>195</v>
      </c>
      <c r="D87" s="3" t="s">
        <v>41</v>
      </c>
      <c r="E87" s="3" t="s">
        <v>37</v>
      </c>
      <c r="F87" s="4"/>
      <c r="G87" s="5"/>
      <c r="H87" s="5" t="n">
        <v>8000</v>
      </c>
      <c r="I87" s="3" t="n">
        <v>15</v>
      </c>
      <c r="K87" s="6" t="n">
        <f aca="false">I87-J87</f>
        <v>15</v>
      </c>
      <c r="L87" s="5" t="n">
        <f aca="false">K87*H87</f>
        <v>120000</v>
      </c>
      <c r="M87" s="5" t="n">
        <f aca="false">IF(A87="","",H87*J87)</f>
        <v>0</v>
      </c>
      <c r="N87" s="5" t="n">
        <f aca="false">IF(A87="","",G87*J87)</f>
        <v>0</v>
      </c>
      <c r="O87" s="5" t="n">
        <f aca="false">IF(A87="","",M87-N87)</f>
        <v>0</v>
      </c>
      <c r="Q87" s="7" t="s">
        <v>196</v>
      </c>
      <c r="R87" s="8"/>
      <c r="S87" s="8"/>
      <c r="T87" s="8"/>
      <c r="U87" s="8"/>
      <c r="V87" s="8"/>
      <c r="W87" s="8"/>
      <c r="X87" s="8"/>
      <c r="Y87" s="8"/>
      <c r="Z87" s="8"/>
      <c r="AA87" s="8"/>
      <c r="AB87" s="7" t="n">
        <f aca="false">SUMPRODUCT(--(R87:AA87&gt;0),'Настройки цен'!$B$12:$K$12)</f>
        <v>0</v>
      </c>
      <c r="AC87" s="9" t="str">
        <f aca="false">IF(AB87=0,"",SUMPRODUCT(R87:AA87,'Настройки цен'!$B$11:$K$11,'Настройки цен'!$B$12:$K$12)/AB87)</f>
        <v/>
      </c>
      <c r="AD87" s="10"/>
      <c r="AE87" s="11" t="n">
        <f aca="false">IF(AD87&lt;&gt;"",AD87,IFERROR(IF(INDEX('Настройки цен'!$B$17:$B$24,MATCH(E87,'Настройки цен'!$A$17:$A$24,0))="",'Настройки цен'!$B$5,INDEX('Настройки цен'!$B$17:$B$24,MATCH(E87,'Настройки цен'!$A$17:$A$24,0))),'Настройки цен'!$B$5))</f>
        <v>0</v>
      </c>
      <c r="AF87" s="9" t="str">
        <f aca="false">IF(AC87="","",ROUND(AC87*(1+AE87)/'Настройки цен'!$B$6,0)*'Настройки цен'!$B$6)</f>
        <v/>
      </c>
      <c r="AG87" s="12" t="str">
        <f aca="false">IF(OR(AC87="",H87=""),"",H87/AC87-1)</f>
        <v/>
      </c>
      <c r="AH87" s="7"/>
    </row>
    <row r="88" customFormat="false" ht="15.75" hidden="false" customHeight="true" outlineLevel="0" collapsed="false">
      <c r="A88" s="3" t="n">
        <v>4693502040</v>
      </c>
      <c r="B88" s="3" t="s">
        <v>197</v>
      </c>
      <c r="D88" s="3" t="s">
        <v>41</v>
      </c>
      <c r="E88" s="3" t="s">
        <v>37</v>
      </c>
      <c r="F88" s="4"/>
      <c r="G88" s="5"/>
      <c r="H88" s="5" t="n">
        <v>8000</v>
      </c>
      <c r="I88" s="3" t="n">
        <v>9</v>
      </c>
      <c r="K88" s="6" t="n">
        <f aca="false">I88-J88</f>
        <v>9</v>
      </c>
      <c r="L88" s="5" t="n">
        <f aca="false">K88*H88</f>
        <v>72000</v>
      </c>
      <c r="M88" s="5" t="n">
        <f aca="false">IF(A88="","",H88*J88)</f>
        <v>0</v>
      </c>
      <c r="N88" s="5" t="n">
        <f aca="false">IF(A88="","",G88*J88)</f>
        <v>0</v>
      </c>
      <c r="O88" s="5" t="n">
        <f aca="false">IF(A88="","",M88-N88)</f>
        <v>0</v>
      </c>
      <c r="Q88" s="7" t="s">
        <v>198</v>
      </c>
      <c r="R88" s="8"/>
      <c r="S88" s="8"/>
      <c r="T88" s="8"/>
      <c r="U88" s="8"/>
      <c r="V88" s="8"/>
      <c r="W88" s="8"/>
      <c r="X88" s="8"/>
      <c r="Y88" s="8"/>
      <c r="Z88" s="8"/>
      <c r="AA88" s="8"/>
      <c r="AB88" s="7" t="n">
        <f aca="false">SUMPRODUCT(--(R88:AA88&gt;0),'Настройки цен'!$B$12:$K$12)</f>
        <v>0</v>
      </c>
      <c r="AC88" s="9" t="str">
        <f aca="false">IF(AB88=0,"",SUMPRODUCT(R88:AA88,'Настройки цен'!$B$11:$K$11,'Настройки цен'!$B$12:$K$12)/AB88)</f>
        <v/>
      </c>
      <c r="AD88" s="10"/>
      <c r="AE88" s="11" t="n">
        <f aca="false">IF(AD88&lt;&gt;"",AD88,IFERROR(IF(INDEX('Настройки цен'!$B$17:$B$24,MATCH(E88,'Настройки цен'!$A$17:$A$24,0))="",'Настройки цен'!$B$5,INDEX('Настройки цен'!$B$17:$B$24,MATCH(E88,'Настройки цен'!$A$17:$A$24,0))),'Настройки цен'!$B$5))</f>
        <v>0</v>
      </c>
      <c r="AF88" s="9" t="str">
        <f aca="false">IF(AC88="","",ROUND(AC88*(1+AE88)/'Настройки цен'!$B$6,0)*'Настройки цен'!$B$6)</f>
        <v/>
      </c>
      <c r="AG88" s="12" t="str">
        <f aca="false">IF(OR(AC88="",H88=""),"",H88/AC88-1)</f>
        <v/>
      </c>
      <c r="AH88" s="7"/>
    </row>
    <row r="89" customFormat="false" ht="15.75" hidden="false" customHeight="true" outlineLevel="0" collapsed="false">
      <c r="A89" s="3" t="n">
        <v>521701020</v>
      </c>
      <c r="B89" s="3" t="s">
        <v>199</v>
      </c>
      <c r="D89" s="3" t="s">
        <v>66</v>
      </c>
      <c r="E89" s="3" t="s">
        <v>55</v>
      </c>
      <c r="F89" s="4"/>
      <c r="G89" s="5"/>
      <c r="H89" s="5" t="n">
        <v>3000</v>
      </c>
      <c r="I89" s="3" t="n">
        <v>8</v>
      </c>
      <c r="K89" s="6" t="n">
        <f aca="false">I89-J89</f>
        <v>8</v>
      </c>
      <c r="L89" s="5" t="n">
        <f aca="false">K89*H89</f>
        <v>24000</v>
      </c>
      <c r="M89" s="5" t="n">
        <f aca="false">IF(A89="","",H89*J89)</f>
        <v>0</v>
      </c>
      <c r="N89" s="5" t="n">
        <f aca="false">IF(A89="","",G89*J89)</f>
        <v>0</v>
      </c>
      <c r="O89" s="5" t="n">
        <f aca="false">IF(A89="","",M89-N89)</f>
        <v>0</v>
      </c>
      <c r="Q89" s="7" t="s">
        <v>200</v>
      </c>
      <c r="R89" s="8"/>
      <c r="S89" s="8"/>
      <c r="T89" s="8"/>
      <c r="U89" s="8"/>
      <c r="V89" s="8"/>
      <c r="W89" s="8"/>
      <c r="X89" s="8"/>
      <c r="Y89" s="8"/>
      <c r="Z89" s="8"/>
      <c r="AA89" s="8"/>
      <c r="AB89" s="7" t="n">
        <f aca="false">SUMPRODUCT(--(R89:AA89&gt;0),'Настройки цен'!$B$12:$K$12)</f>
        <v>0</v>
      </c>
      <c r="AC89" s="9" t="str">
        <f aca="false">IF(AB89=0,"",SUMPRODUCT(R89:AA89,'Настройки цен'!$B$11:$K$11,'Настройки цен'!$B$12:$K$12)/AB89)</f>
        <v/>
      </c>
      <c r="AD89" s="10"/>
      <c r="AE89" s="11" t="n">
        <f aca="false">IF(AD89&lt;&gt;"",AD89,IFERROR(IF(INDEX('Настройки цен'!$B$17:$B$24,MATCH(E89,'Настройки цен'!$A$17:$A$24,0))="",'Настройки цен'!$B$5,INDEX('Настройки цен'!$B$17:$B$24,MATCH(E89,'Настройки цен'!$A$17:$A$24,0))),'Настройки цен'!$B$5))</f>
        <v>0</v>
      </c>
      <c r="AF89" s="9" t="str">
        <f aca="false">IF(AC89="","",ROUND(AC89*(1+AE89)/'Настройки цен'!$B$6,0)*'Настройки цен'!$B$6)</f>
        <v/>
      </c>
      <c r="AG89" s="12" t="str">
        <f aca="false">IF(OR(AC89="",H89=""),"",H89/AC89-1)</f>
        <v/>
      </c>
      <c r="AH89" s="7"/>
    </row>
    <row r="90" customFormat="false" ht="15.75" hidden="false" customHeight="true" outlineLevel="0" collapsed="false">
      <c r="A90" s="3" t="n">
        <v>53121701101</v>
      </c>
      <c r="B90" s="3" t="s">
        <v>201</v>
      </c>
      <c r="D90" s="3" t="s">
        <v>66</v>
      </c>
      <c r="E90" s="3" t="s">
        <v>55</v>
      </c>
      <c r="F90" s="4"/>
      <c r="G90" s="5"/>
      <c r="H90" s="5" t="n">
        <v>25000</v>
      </c>
      <c r="I90" s="3" t="n">
        <v>6</v>
      </c>
      <c r="K90" s="6" t="n">
        <f aca="false">I90-J90</f>
        <v>6</v>
      </c>
      <c r="L90" s="5" t="n">
        <f aca="false">K90*H90</f>
        <v>150000</v>
      </c>
      <c r="M90" s="5" t="n">
        <f aca="false">IF(A90="","",H90*J90)</f>
        <v>0</v>
      </c>
      <c r="N90" s="5" t="n">
        <f aca="false">IF(A90="","",G90*J90)</f>
        <v>0</v>
      </c>
      <c r="O90" s="5" t="n">
        <f aca="false">IF(A90="","",M90-N90)</f>
        <v>0</v>
      </c>
      <c r="Q90" s="7" t="s">
        <v>202</v>
      </c>
      <c r="R90" s="8"/>
      <c r="S90" s="8"/>
      <c r="T90" s="8"/>
      <c r="U90" s="8"/>
      <c r="V90" s="8"/>
      <c r="W90" s="8"/>
      <c r="X90" s="8"/>
      <c r="Y90" s="8"/>
      <c r="Z90" s="8"/>
      <c r="AA90" s="8"/>
      <c r="AB90" s="7" t="n">
        <f aca="false">SUMPRODUCT(--(R90:AA90&gt;0),'Настройки цен'!$B$12:$K$12)</f>
        <v>0</v>
      </c>
      <c r="AC90" s="9" t="str">
        <f aca="false">IF(AB90=0,"",SUMPRODUCT(R90:AA90,'Настройки цен'!$B$11:$K$11,'Настройки цен'!$B$12:$K$12)/AB90)</f>
        <v/>
      </c>
      <c r="AD90" s="10"/>
      <c r="AE90" s="11" t="n">
        <f aca="false">IF(AD90&lt;&gt;"",AD90,IFERROR(IF(INDEX('Настройки цен'!$B$17:$B$24,MATCH(E90,'Настройки цен'!$A$17:$A$24,0))="",'Настройки цен'!$B$5,INDEX('Настройки цен'!$B$17:$B$24,MATCH(E90,'Настройки цен'!$A$17:$A$24,0))),'Настройки цен'!$B$5))</f>
        <v>0</v>
      </c>
      <c r="AF90" s="9" t="str">
        <f aca="false">IF(AC90="","",ROUND(AC90*(1+AE90)/'Настройки цен'!$B$6,0)*'Настройки цен'!$B$6)</f>
        <v/>
      </c>
      <c r="AG90" s="12" t="str">
        <f aca="false">IF(OR(AC90="",H90=""),"",H90/AC90-1)</f>
        <v/>
      </c>
      <c r="AH90" s="7"/>
    </row>
    <row r="91" customFormat="false" ht="15.75" hidden="false" customHeight="true" outlineLevel="0" collapsed="false">
      <c r="A91" s="3" t="n">
        <v>4521700010</v>
      </c>
      <c r="B91" s="3" t="s">
        <v>203</v>
      </c>
      <c r="D91" s="3" t="s">
        <v>35</v>
      </c>
      <c r="E91" s="3" t="s">
        <v>55</v>
      </c>
      <c r="F91" s="4"/>
      <c r="G91" s="5"/>
      <c r="H91" s="5" t="n">
        <v>300000</v>
      </c>
      <c r="I91" s="3" t="n">
        <v>1</v>
      </c>
      <c r="K91" s="6" t="n">
        <f aca="false">I91-J91</f>
        <v>1</v>
      </c>
      <c r="L91" s="5" t="n">
        <f aca="false">K91*H91</f>
        <v>300000</v>
      </c>
      <c r="M91" s="5" t="n">
        <f aca="false">IF(A91="","",H91*J91)</f>
        <v>0</v>
      </c>
      <c r="N91" s="5" t="n">
        <f aca="false">IF(A91="","",G91*J91)</f>
        <v>0</v>
      </c>
      <c r="O91" s="5" t="n">
        <f aca="false">IF(A91="","",M91-N91)</f>
        <v>0</v>
      </c>
      <c r="Q91" s="7" t="s">
        <v>204</v>
      </c>
      <c r="R91" s="8"/>
      <c r="S91" s="8"/>
      <c r="T91" s="8"/>
      <c r="U91" s="8"/>
      <c r="V91" s="8"/>
      <c r="W91" s="8"/>
      <c r="X91" s="8"/>
      <c r="Y91" s="8"/>
      <c r="Z91" s="8"/>
      <c r="AA91" s="8"/>
      <c r="AB91" s="7" t="n">
        <f aca="false">SUMPRODUCT(--(R91:AA91&gt;0),'Настройки цен'!$B$12:$K$12)</f>
        <v>0</v>
      </c>
      <c r="AC91" s="9" t="str">
        <f aca="false">IF(AB91=0,"",SUMPRODUCT(R91:AA91,'Настройки цен'!$B$11:$K$11,'Настройки цен'!$B$12:$K$12)/AB91)</f>
        <v/>
      </c>
      <c r="AD91" s="10"/>
      <c r="AE91" s="11" t="n">
        <f aca="false">IF(AD91&lt;&gt;"",AD91,IFERROR(IF(INDEX('Настройки цен'!$B$17:$B$24,MATCH(E91,'Настройки цен'!$A$17:$A$24,0))="",'Настройки цен'!$B$5,INDEX('Настройки цен'!$B$17:$B$24,MATCH(E91,'Настройки цен'!$A$17:$A$24,0))),'Настройки цен'!$B$5))</f>
        <v>0</v>
      </c>
      <c r="AF91" s="9" t="str">
        <f aca="false">IF(AC91="","",ROUND(AC91*(1+AE91)/'Настройки цен'!$B$6,0)*'Настройки цен'!$B$6)</f>
        <v/>
      </c>
      <c r="AG91" s="12" t="str">
        <f aca="false">IF(OR(AC91="",H91=""),"",H91/AC91-1)</f>
        <v/>
      </c>
      <c r="AH91" s="7"/>
    </row>
    <row r="92" customFormat="false" ht="15.75" hidden="false" customHeight="true" outlineLevel="0" collapsed="false">
      <c r="A92" s="3" t="n">
        <v>316200180211000</v>
      </c>
      <c r="B92" s="3" t="s">
        <v>205</v>
      </c>
      <c r="D92" s="3" t="s">
        <v>41</v>
      </c>
      <c r="E92" s="3" t="s">
        <v>55</v>
      </c>
      <c r="F92" s="4"/>
      <c r="G92" s="5"/>
      <c r="H92" s="5" t="n">
        <v>25000</v>
      </c>
      <c r="I92" s="3" t="n">
        <v>2</v>
      </c>
      <c r="K92" s="6" t="n">
        <f aca="false">I92-J92</f>
        <v>2</v>
      </c>
      <c r="L92" s="5" t="n">
        <f aca="false">K92*H92</f>
        <v>50000</v>
      </c>
      <c r="M92" s="5" t="n">
        <f aca="false">IF(A92="","",H92*J92)</f>
        <v>0</v>
      </c>
      <c r="N92" s="5" t="n">
        <f aca="false">IF(A92="","",G92*J92)</f>
        <v>0</v>
      </c>
      <c r="O92" s="5" t="n">
        <f aca="false">IF(A92="","",M92-N92)</f>
        <v>0</v>
      </c>
      <c r="Q92" s="7" t="s">
        <v>206</v>
      </c>
      <c r="R92" s="8"/>
      <c r="S92" s="8"/>
      <c r="T92" s="8"/>
      <c r="U92" s="8"/>
      <c r="V92" s="8"/>
      <c r="W92" s="8"/>
      <c r="X92" s="8"/>
      <c r="Y92" s="8"/>
      <c r="Z92" s="8"/>
      <c r="AA92" s="8"/>
      <c r="AB92" s="7" t="n">
        <f aca="false">SUMPRODUCT(--(R92:AA92&gt;0),'Настройки цен'!$B$12:$K$12)</f>
        <v>0</v>
      </c>
      <c r="AC92" s="9" t="str">
        <f aca="false">IF(AB92=0,"",SUMPRODUCT(R92:AA92,'Настройки цен'!$B$11:$K$11,'Настройки цен'!$B$12:$K$12)/AB92)</f>
        <v/>
      </c>
      <c r="AD92" s="10"/>
      <c r="AE92" s="11" t="n">
        <f aca="false">IF(AD92&lt;&gt;"",AD92,IFERROR(IF(INDEX('Настройки цен'!$B$17:$B$24,MATCH(E92,'Настройки цен'!$A$17:$A$24,0))="",'Настройки цен'!$B$5,INDEX('Настройки цен'!$B$17:$B$24,MATCH(E92,'Настройки цен'!$A$17:$A$24,0))),'Настройки цен'!$B$5))</f>
        <v>0</v>
      </c>
      <c r="AF92" s="9" t="str">
        <f aca="false">IF(AC92="","",ROUND(AC92*(1+AE92)/'Настройки цен'!$B$6,0)*'Настройки цен'!$B$6)</f>
        <v/>
      </c>
      <c r="AG92" s="12" t="str">
        <f aca="false">IF(OR(AC92="",H92=""),"",H92/AC92-1)</f>
        <v/>
      </c>
      <c r="AH92" s="7"/>
    </row>
    <row r="93" customFormat="false" ht="15.75" hidden="false" customHeight="true" outlineLevel="0" collapsed="false">
      <c r="A93" s="3" t="n">
        <v>4171005185</v>
      </c>
      <c r="B93" s="3" t="s">
        <v>207</v>
      </c>
      <c r="D93" s="3" t="s">
        <v>82</v>
      </c>
      <c r="E93" s="3" t="s">
        <v>70</v>
      </c>
      <c r="F93" s="4"/>
      <c r="G93" s="5"/>
      <c r="H93" s="5" t="n">
        <v>12000</v>
      </c>
      <c r="I93" s="3" t="n">
        <v>1</v>
      </c>
      <c r="K93" s="6" t="n">
        <f aca="false">I93-J93</f>
        <v>1</v>
      </c>
      <c r="L93" s="5" t="n">
        <f aca="false">K93*H93</f>
        <v>12000</v>
      </c>
      <c r="M93" s="5" t="n">
        <f aca="false">IF(A93="","",H93*J93)</f>
        <v>0</v>
      </c>
      <c r="N93" s="5" t="n">
        <f aca="false">IF(A93="","",G93*J93)</f>
        <v>0</v>
      </c>
      <c r="O93" s="5" t="n">
        <f aca="false">IF(A93="","",M93-N93)</f>
        <v>0</v>
      </c>
      <c r="Q93" s="7" t="s">
        <v>208</v>
      </c>
      <c r="R93" s="8"/>
      <c r="S93" s="8"/>
      <c r="T93" s="8"/>
      <c r="U93" s="8"/>
      <c r="V93" s="8"/>
      <c r="W93" s="8"/>
      <c r="X93" s="8"/>
      <c r="Y93" s="8"/>
      <c r="Z93" s="8"/>
      <c r="AA93" s="8"/>
      <c r="AB93" s="7" t="n">
        <f aca="false">SUMPRODUCT(--(R93:AA93&gt;0),'Настройки цен'!$B$12:$K$12)</f>
        <v>0</v>
      </c>
      <c r="AC93" s="9" t="str">
        <f aca="false">IF(AB93=0,"",SUMPRODUCT(R93:AA93,'Настройки цен'!$B$11:$K$11,'Настройки цен'!$B$12:$K$12)/AB93)</f>
        <v/>
      </c>
      <c r="AD93" s="10"/>
      <c r="AE93" s="11" t="n">
        <f aca="false">IF(AD93&lt;&gt;"",AD93,IFERROR(IF(INDEX('Настройки цен'!$B$17:$B$24,MATCH(E93,'Настройки цен'!$A$17:$A$24,0))="",'Настройки цен'!$B$5,INDEX('Настройки цен'!$B$17:$B$24,MATCH(E93,'Настройки цен'!$A$17:$A$24,0))),'Настройки цен'!$B$5))</f>
        <v>0</v>
      </c>
      <c r="AF93" s="9" t="str">
        <f aca="false">IF(AC93="","",ROUND(AC93*(1+AE93)/'Настройки цен'!$B$6,0)*'Настройки цен'!$B$6)</f>
        <v/>
      </c>
      <c r="AG93" s="12" t="str">
        <f aca="false">IF(OR(AC93="",H93=""),"",H93/AC93-1)</f>
        <v/>
      </c>
      <c r="AH93" s="7"/>
    </row>
    <row r="94" customFormat="false" ht="15.75" hidden="false" customHeight="true" outlineLevel="0" collapsed="false">
      <c r="A94" s="3" t="n">
        <v>1301005030</v>
      </c>
      <c r="B94" s="3" t="s">
        <v>207</v>
      </c>
      <c r="D94" s="3" t="s">
        <v>209</v>
      </c>
      <c r="E94" s="3" t="s">
        <v>70</v>
      </c>
      <c r="F94" s="4"/>
      <c r="G94" s="5"/>
      <c r="H94" s="5" t="n">
        <v>12000</v>
      </c>
      <c r="I94" s="3" t="n">
        <v>2</v>
      </c>
      <c r="K94" s="6" t="n">
        <f aca="false">I94-J94</f>
        <v>2</v>
      </c>
      <c r="L94" s="5" t="n">
        <f aca="false">K94*H94</f>
        <v>24000</v>
      </c>
      <c r="M94" s="5" t="n">
        <f aca="false">IF(A94="","",H94*J94)</f>
        <v>0</v>
      </c>
      <c r="N94" s="5" t="n">
        <f aca="false">IF(A94="","",G94*J94)</f>
        <v>0</v>
      </c>
      <c r="O94" s="5" t="n">
        <f aca="false">IF(A94="","",M94-N94)</f>
        <v>0</v>
      </c>
      <c r="Q94" s="7" t="s">
        <v>210</v>
      </c>
      <c r="R94" s="8"/>
      <c r="S94" s="8"/>
      <c r="T94" s="8"/>
      <c r="U94" s="8"/>
      <c r="V94" s="8"/>
      <c r="W94" s="8"/>
      <c r="X94" s="8"/>
      <c r="Y94" s="8"/>
      <c r="Z94" s="8"/>
      <c r="AA94" s="8"/>
      <c r="AB94" s="7" t="n">
        <f aca="false">SUMPRODUCT(--(R94:AA94&gt;0),'Настройки цен'!$B$12:$K$12)</f>
        <v>0</v>
      </c>
      <c r="AC94" s="9" t="str">
        <f aca="false">IF(AB94=0,"",SUMPRODUCT(R94:AA94,'Настройки цен'!$B$11:$K$11,'Настройки цен'!$B$12:$K$12)/AB94)</f>
        <v/>
      </c>
      <c r="AD94" s="10"/>
      <c r="AE94" s="11" t="n">
        <f aca="false">IF(AD94&lt;&gt;"",AD94,IFERROR(IF(INDEX('Настройки цен'!$B$17:$B$24,MATCH(E94,'Настройки цен'!$A$17:$A$24,0))="",'Настройки цен'!$B$5,INDEX('Настройки цен'!$B$17:$B$24,MATCH(E94,'Настройки цен'!$A$17:$A$24,0))),'Настройки цен'!$B$5))</f>
        <v>0</v>
      </c>
      <c r="AF94" s="9" t="str">
        <f aca="false">IF(AC94="","",ROUND(AC94*(1+AE94)/'Настройки цен'!$B$6,0)*'Настройки цен'!$B$6)</f>
        <v/>
      </c>
      <c r="AG94" s="12" t="str">
        <f aca="false">IF(OR(AC94="",H94=""),"",H94/AC94-1)</f>
        <v/>
      </c>
      <c r="AH94" s="7"/>
    </row>
    <row r="95" customFormat="false" ht="15.75" hidden="false" customHeight="true" outlineLevel="0" collapsed="false">
      <c r="A95" s="3" t="n">
        <v>396295170301000</v>
      </c>
      <c r="B95" s="3" t="s">
        <v>211</v>
      </c>
      <c r="D95" s="3" t="s">
        <v>41</v>
      </c>
      <c r="E95" s="3" t="s">
        <v>55</v>
      </c>
      <c r="F95" s="4"/>
      <c r="G95" s="5"/>
      <c r="H95" s="5" t="n">
        <v>25000</v>
      </c>
      <c r="I95" s="3" t="n">
        <v>1</v>
      </c>
      <c r="K95" s="6" t="n">
        <f aca="false">I95-J95</f>
        <v>1</v>
      </c>
      <c r="L95" s="5" t="n">
        <f aca="false">K95*H95</f>
        <v>25000</v>
      </c>
      <c r="M95" s="5" t="n">
        <f aca="false">IF(A95="","",H95*J95)</f>
        <v>0</v>
      </c>
      <c r="N95" s="5" t="n">
        <f aca="false">IF(A95="","",G95*J95)</f>
        <v>0</v>
      </c>
      <c r="O95" s="5" t="n">
        <f aca="false">IF(A95="","",M95-N95)</f>
        <v>0</v>
      </c>
      <c r="Q95" s="7" t="s">
        <v>212</v>
      </c>
      <c r="R95" s="8"/>
      <c r="S95" s="8"/>
      <c r="T95" s="8"/>
      <c r="U95" s="8"/>
      <c r="V95" s="8"/>
      <c r="W95" s="8"/>
      <c r="X95" s="8"/>
      <c r="Y95" s="8"/>
      <c r="Z95" s="8"/>
      <c r="AA95" s="8"/>
      <c r="AB95" s="7" t="n">
        <f aca="false">SUMPRODUCT(--(R95:AA95&gt;0),'Настройки цен'!$B$12:$K$12)</f>
        <v>0</v>
      </c>
      <c r="AC95" s="9" t="str">
        <f aca="false">IF(AB95=0,"",SUMPRODUCT(R95:AA95,'Настройки цен'!$B$11:$K$11,'Настройки цен'!$B$12:$K$12)/AB95)</f>
        <v/>
      </c>
      <c r="AD95" s="10"/>
      <c r="AE95" s="11" t="n">
        <f aca="false">IF(AD95&lt;&gt;"",AD95,IFERROR(IF(INDEX('Настройки цен'!$B$17:$B$24,MATCH(E95,'Настройки цен'!$A$17:$A$24,0))="",'Настройки цен'!$B$5,INDEX('Настройки цен'!$B$17:$B$24,MATCH(E95,'Настройки цен'!$A$17:$A$24,0))),'Настройки цен'!$B$5))</f>
        <v>0</v>
      </c>
      <c r="AF95" s="9" t="str">
        <f aca="false">IF(AC95="","",ROUND(AC95*(1+AE95)/'Настройки цен'!$B$6,0)*'Настройки цен'!$B$6)</f>
        <v/>
      </c>
      <c r="AG95" s="12" t="str">
        <f aca="false">IF(OR(AC95="",H95=""),"",H95/AC95-1)</f>
        <v/>
      </c>
      <c r="AH95" s="7"/>
    </row>
    <row r="96" customFormat="false" ht="15.75" hidden="false" customHeight="true" outlineLevel="0" collapsed="false">
      <c r="A96" s="3" t="n">
        <v>4211308100</v>
      </c>
      <c r="B96" s="3" t="s">
        <v>213</v>
      </c>
      <c r="D96" s="3" t="s">
        <v>82</v>
      </c>
      <c r="E96" s="3" t="s">
        <v>70</v>
      </c>
      <c r="F96" s="4"/>
      <c r="G96" s="5"/>
      <c r="H96" s="5" t="n">
        <v>15000</v>
      </c>
      <c r="I96" s="3" t="n">
        <v>2</v>
      </c>
      <c r="K96" s="6" t="n">
        <f aca="false">I96-J96</f>
        <v>2</v>
      </c>
      <c r="L96" s="5" t="n">
        <f aca="false">K96*H96</f>
        <v>30000</v>
      </c>
      <c r="M96" s="5" t="n">
        <f aca="false">IF(A96="","",H96*J96)</f>
        <v>0</v>
      </c>
      <c r="N96" s="5" t="n">
        <f aca="false">IF(A96="","",G96*J96)</f>
        <v>0</v>
      </c>
      <c r="O96" s="5" t="n">
        <f aca="false">IF(A96="","",M96-N96)</f>
        <v>0</v>
      </c>
      <c r="Q96" s="7" t="s">
        <v>214</v>
      </c>
      <c r="R96" s="8"/>
      <c r="S96" s="8"/>
      <c r="T96" s="8"/>
      <c r="U96" s="8"/>
      <c r="V96" s="8"/>
      <c r="W96" s="8"/>
      <c r="X96" s="8"/>
      <c r="Y96" s="8"/>
      <c r="Z96" s="8"/>
      <c r="AA96" s="8"/>
      <c r="AB96" s="7" t="n">
        <f aca="false">SUMPRODUCT(--(R96:AA96&gt;0),'Настройки цен'!$B$12:$K$12)</f>
        <v>0</v>
      </c>
      <c r="AC96" s="9" t="str">
        <f aca="false">IF(AB96=0,"",SUMPRODUCT(R96:AA96,'Настройки цен'!$B$11:$K$11,'Настройки цен'!$B$12:$K$12)/AB96)</f>
        <v/>
      </c>
      <c r="AD96" s="10"/>
      <c r="AE96" s="11" t="n">
        <f aca="false">IF(AD96&lt;&gt;"",AD96,IFERROR(IF(INDEX('Настройки цен'!$B$17:$B$24,MATCH(E96,'Настройки цен'!$A$17:$A$24,0))="",'Настройки цен'!$B$5,INDEX('Настройки цен'!$B$17:$B$24,MATCH(E96,'Настройки цен'!$A$17:$A$24,0))),'Настройки цен'!$B$5))</f>
        <v>0</v>
      </c>
      <c r="AF96" s="9" t="str">
        <f aca="false">IF(AC96="","",ROUND(AC96*(1+AE96)/'Настройки цен'!$B$6,0)*'Настройки цен'!$B$6)</f>
        <v/>
      </c>
      <c r="AG96" s="12" t="str">
        <f aca="false">IF(OR(AC96="",H96=""),"",H96/AC96-1)</f>
        <v/>
      </c>
      <c r="AH96" s="7"/>
    </row>
    <row r="97" customFormat="false" ht="15.75" hidden="false" customHeight="true" outlineLevel="0" collapsed="false">
      <c r="A97" s="3" t="s">
        <v>215</v>
      </c>
      <c r="B97" s="3" t="s">
        <v>216</v>
      </c>
      <c r="D97" s="3" t="s">
        <v>66</v>
      </c>
      <c r="E97" s="3" t="s">
        <v>55</v>
      </c>
      <c r="F97" s="4"/>
      <c r="G97" s="5"/>
      <c r="H97" s="5" t="n">
        <v>10000</v>
      </c>
      <c r="I97" s="3" t="n">
        <v>2</v>
      </c>
      <c r="K97" s="6" t="n">
        <f aca="false">I97-J97</f>
        <v>2</v>
      </c>
      <c r="L97" s="5" t="n">
        <f aca="false">K97*H97</f>
        <v>20000</v>
      </c>
      <c r="M97" s="5" t="n">
        <f aca="false">IF(A97="","",H97*J97)</f>
        <v>0</v>
      </c>
      <c r="N97" s="5" t="n">
        <f aca="false">IF(A97="","",G97*J97)</f>
        <v>0</v>
      </c>
      <c r="O97" s="5" t="n">
        <f aca="false">IF(A97="","",M97-N97)</f>
        <v>0</v>
      </c>
      <c r="Q97" s="7" t="s">
        <v>215</v>
      </c>
      <c r="R97" s="8"/>
      <c r="S97" s="8"/>
      <c r="T97" s="8"/>
      <c r="U97" s="8"/>
      <c r="V97" s="8"/>
      <c r="W97" s="8"/>
      <c r="X97" s="8"/>
      <c r="Y97" s="8"/>
      <c r="Z97" s="8"/>
      <c r="AA97" s="8"/>
      <c r="AB97" s="7" t="n">
        <f aca="false">SUMPRODUCT(--(R97:AA97&gt;0),'Настройки цен'!$B$12:$K$12)</f>
        <v>0</v>
      </c>
      <c r="AC97" s="9" t="str">
        <f aca="false">IF(AB97=0,"",SUMPRODUCT(R97:AA97,'Настройки цен'!$B$11:$K$11,'Настройки цен'!$B$12:$K$12)/AB97)</f>
        <v/>
      </c>
      <c r="AD97" s="10"/>
      <c r="AE97" s="11" t="n">
        <f aca="false">IF(AD97&lt;&gt;"",AD97,IFERROR(IF(INDEX('Настройки цен'!$B$17:$B$24,MATCH(E97,'Настройки цен'!$A$17:$A$24,0))="",'Настройки цен'!$B$5,INDEX('Настройки цен'!$B$17:$B$24,MATCH(E97,'Настройки цен'!$A$17:$A$24,0))),'Настройки цен'!$B$5))</f>
        <v>0</v>
      </c>
      <c r="AF97" s="9" t="str">
        <f aca="false">IF(AC97="","",ROUND(AC97*(1+AE97)/'Настройки цен'!$B$6,0)*'Настройки цен'!$B$6)</f>
        <v/>
      </c>
      <c r="AG97" s="12" t="str">
        <f aca="false">IF(OR(AC97="",H97=""),"",H97/AC97-1)</f>
        <v/>
      </c>
      <c r="AH97" s="7"/>
    </row>
    <row r="98" customFormat="false" ht="15.75" hidden="false" customHeight="true" outlineLevel="0" collapsed="false">
      <c r="A98" s="3" t="s">
        <v>217</v>
      </c>
      <c r="B98" s="3" t="s">
        <v>130</v>
      </c>
      <c r="D98" s="3" t="s">
        <v>82</v>
      </c>
      <c r="E98" s="3" t="s">
        <v>70</v>
      </c>
      <c r="F98" s="4"/>
      <c r="G98" s="5"/>
      <c r="H98" s="5" t="n">
        <v>4000</v>
      </c>
      <c r="I98" s="3" t="n">
        <v>5</v>
      </c>
      <c r="K98" s="6" t="n">
        <f aca="false">I98-J98</f>
        <v>5</v>
      </c>
      <c r="L98" s="5" t="n">
        <f aca="false">K98*H98</f>
        <v>20000</v>
      </c>
      <c r="M98" s="5" t="n">
        <f aca="false">IF(A98="","",H98*J98)</f>
        <v>0</v>
      </c>
      <c r="N98" s="5" t="n">
        <f aca="false">IF(A98="","",G98*J98)</f>
        <v>0</v>
      </c>
      <c r="O98" s="5" t="n">
        <f aca="false">IF(A98="","",M98-N98)</f>
        <v>0</v>
      </c>
      <c r="Q98" s="7" t="s">
        <v>217</v>
      </c>
      <c r="R98" s="8"/>
      <c r="S98" s="8"/>
      <c r="T98" s="8"/>
      <c r="U98" s="8"/>
      <c r="V98" s="8"/>
      <c r="W98" s="8"/>
      <c r="X98" s="8"/>
      <c r="Y98" s="8"/>
      <c r="Z98" s="8"/>
      <c r="AA98" s="8"/>
      <c r="AB98" s="7" t="n">
        <f aca="false">SUMPRODUCT(--(R98:AA98&gt;0),'Настройки цен'!$B$12:$K$12)</f>
        <v>0</v>
      </c>
      <c r="AC98" s="9" t="str">
        <f aca="false">IF(AB98=0,"",SUMPRODUCT(R98:AA98,'Настройки цен'!$B$11:$K$11,'Настройки цен'!$B$12:$K$12)/AB98)</f>
        <v/>
      </c>
      <c r="AD98" s="10"/>
      <c r="AE98" s="11" t="n">
        <f aca="false">IF(AD98&lt;&gt;"",AD98,IFERROR(IF(INDEX('Настройки цен'!$B$17:$B$24,MATCH(E98,'Настройки цен'!$A$17:$A$24,0))="",'Настройки цен'!$B$5,INDEX('Настройки цен'!$B$17:$B$24,MATCH(E98,'Настройки цен'!$A$17:$A$24,0))),'Настройки цен'!$B$5))</f>
        <v>0</v>
      </c>
      <c r="AF98" s="9" t="str">
        <f aca="false">IF(AC98="","",ROUND(AC98*(1+AE98)/'Настройки цен'!$B$6,0)*'Настройки цен'!$B$6)</f>
        <v/>
      </c>
      <c r="AG98" s="12" t="str">
        <f aca="false">IF(OR(AC98="",H98=""),"",H98/AC98-1)</f>
        <v/>
      </c>
      <c r="AH98" s="7"/>
    </row>
    <row r="99" customFormat="false" ht="15.75" hidden="false" customHeight="true" outlineLevel="0" collapsed="false">
      <c r="A99" s="3" t="s">
        <v>218</v>
      </c>
      <c r="B99" s="3" t="s">
        <v>219</v>
      </c>
      <c r="D99" s="3" t="s">
        <v>66</v>
      </c>
      <c r="E99" s="3" t="s">
        <v>55</v>
      </c>
      <c r="F99" s="4"/>
      <c r="G99" s="5"/>
      <c r="H99" s="5" t="n">
        <v>2000</v>
      </c>
      <c r="I99" s="3" t="n">
        <v>10</v>
      </c>
      <c r="K99" s="6" t="n">
        <f aca="false">I99-J99</f>
        <v>10</v>
      </c>
      <c r="L99" s="5" t="n">
        <f aca="false">K99*H99</f>
        <v>20000</v>
      </c>
      <c r="M99" s="5" t="n">
        <f aca="false">IF(A99="","",H99*J99)</f>
        <v>0</v>
      </c>
      <c r="N99" s="5" t="n">
        <f aca="false">IF(A99="","",G99*J99)</f>
        <v>0</v>
      </c>
      <c r="O99" s="5" t="n">
        <f aca="false">IF(A99="","",M99-N99)</f>
        <v>0</v>
      </c>
      <c r="Q99" s="7" t="s">
        <v>218</v>
      </c>
      <c r="R99" s="8"/>
      <c r="S99" s="8"/>
      <c r="T99" s="8"/>
      <c r="U99" s="8"/>
      <c r="V99" s="8"/>
      <c r="W99" s="8"/>
      <c r="X99" s="8"/>
      <c r="Y99" s="8"/>
      <c r="Z99" s="8"/>
      <c r="AA99" s="8"/>
      <c r="AB99" s="7" t="n">
        <f aca="false">SUMPRODUCT(--(R99:AA99&gt;0),'Настройки цен'!$B$12:$K$12)</f>
        <v>0</v>
      </c>
      <c r="AC99" s="9" t="str">
        <f aca="false">IF(AB99=0,"",SUMPRODUCT(R99:AA99,'Настройки цен'!$B$11:$K$11,'Настройки цен'!$B$12:$K$12)/AB99)</f>
        <v/>
      </c>
      <c r="AD99" s="10"/>
      <c r="AE99" s="11" t="n">
        <f aca="false">IF(AD99&lt;&gt;"",AD99,IFERROR(IF(INDEX('Настройки цен'!$B$17:$B$24,MATCH(E99,'Настройки цен'!$A$17:$A$24,0))="",'Настройки цен'!$B$5,INDEX('Настройки цен'!$B$17:$B$24,MATCH(E99,'Настройки цен'!$A$17:$A$24,0))),'Настройки цен'!$B$5))</f>
        <v>0</v>
      </c>
      <c r="AF99" s="9" t="str">
        <f aca="false">IF(AC99="","",ROUND(AC99*(1+AE99)/'Настройки цен'!$B$6,0)*'Настройки цен'!$B$6)</f>
        <v/>
      </c>
      <c r="AG99" s="12" t="str">
        <f aca="false">IF(OR(AC99="",H99=""),"",H99/AC99-1)</f>
        <v/>
      </c>
      <c r="AH99" s="7"/>
    </row>
    <row r="100" customFormat="false" ht="15.75" hidden="false" customHeight="true" outlineLevel="0" collapsed="false">
      <c r="A100" s="3" t="s">
        <v>220</v>
      </c>
      <c r="B100" s="3" t="s">
        <v>221</v>
      </c>
      <c r="D100" s="3" t="s">
        <v>222</v>
      </c>
      <c r="E100" s="3" t="s">
        <v>55</v>
      </c>
      <c r="F100" s="4"/>
      <c r="G100" s="5"/>
      <c r="H100" s="5" t="n">
        <v>2000</v>
      </c>
      <c r="I100" s="3" t="n">
        <v>10</v>
      </c>
      <c r="K100" s="6" t="n">
        <f aca="false">I100-J100</f>
        <v>10</v>
      </c>
      <c r="L100" s="5" t="n">
        <f aca="false">K100*H100</f>
        <v>20000</v>
      </c>
      <c r="M100" s="5" t="n">
        <f aca="false">IF(A100="","",H100*J100)</f>
        <v>0</v>
      </c>
      <c r="N100" s="5" t="n">
        <f aca="false">IF(A100="","",G100*J100)</f>
        <v>0</v>
      </c>
      <c r="O100" s="5" t="n">
        <f aca="false">IF(A100="","",M100-N100)</f>
        <v>0</v>
      </c>
      <c r="Q100" s="7" t="s">
        <v>220</v>
      </c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7" t="n">
        <f aca="false">SUMPRODUCT(--(R100:AA100&gt;0),'Настройки цен'!$B$12:$K$12)</f>
        <v>0</v>
      </c>
      <c r="AC100" s="9" t="str">
        <f aca="false">IF(AB100=0,"",SUMPRODUCT(R100:AA100,'Настройки цен'!$B$11:$K$11,'Настройки цен'!$B$12:$K$12)/AB100)</f>
        <v/>
      </c>
      <c r="AD100" s="10"/>
      <c r="AE100" s="11" t="n">
        <f aca="false">IF(AD100&lt;&gt;"",AD100,IFERROR(IF(INDEX('Настройки цен'!$B$17:$B$24,MATCH(E100,'Настройки цен'!$A$17:$A$24,0))="",'Настройки цен'!$B$5,INDEX('Настройки цен'!$B$17:$B$24,MATCH(E100,'Настройки цен'!$A$17:$A$24,0))),'Настройки цен'!$B$5))</f>
        <v>0</v>
      </c>
      <c r="AF100" s="9" t="str">
        <f aca="false">IF(AC100="","",ROUND(AC100*(1+AE100)/'Настройки цен'!$B$6,0)*'Настройки цен'!$B$6)</f>
        <v/>
      </c>
      <c r="AG100" s="12" t="str">
        <f aca="false">IF(OR(AC100="",H100=""),"",H100/AC100-1)</f>
        <v/>
      </c>
      <c r="AH100" s="7"/>
    </row>
    <row r="101" customFormat="false" ht="15.75" hidden="false" customHeight="true" outlineLevel="0" collapsed="false">
      <c r="A101" s="3" t="s">
        <v>223</v>
      </c>
      <c r="B101" s="3" t="s">
        <v>131</v>
      </c>
      <c r="D101" s="3" t="s">
        <v>222</v>
      </c>
      <c r="E101" s="3" t="s">
        <v>55</v>
      </c>
      <c r="F101" s="4"/>
      <c r="G101" s="5"/>
      <c r="H101" s="5" t="n">
        <v>2000</v>
      </c>
      <c r="I101" s="3" t="n">
        <v>5</v>
      </c>
      <c r="K101" s="6" t="n">
        <f aca="false">I101-J101</f>
        <v>5</v>
      </c>
      <c r="L101" s="5" t="n">
        <f aca="false">K101*H101</f>
        <v>10000</v>
      </c>
      <c r="M101" s="5" t="n">
        <f aca="false">IF(A101="","",H101*J101)</f>
        <v>0</v>
      </c>
      <c r="N101" s="5" t="n">
        <f aca="false">IF(A101="","",G101*J101)</f>
        <v>0</v>
      </c>
      <c r="O101" s="5" t="n">
        <f aca="false">IF(A101="","",M101-N101)</f>
        <v>0</v>
      </c>
      <c r="Q101" s="7" t="s">
        <v>223</v>
      </c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7" t="n">
        <f aca="false">SUMPRODUCT(--(R101:AA101&gt;0),'Настройки цен'!$B$12:$K$12)</f>
        <v>0</v>
      </c>
      <c r="AC101" s="9" t="str">
        <f aca="false">IF(AB101=0,"",SUMPRODUCT(R101:AA101,'Настройки цен'!$B$11:$K$11,'Настройки цен'!$B$12:$K$12)/AB101)</f>
        <v/>
      </c>
      <c r="AD101" s="10"/>
      <c r="AE101" s="11" t="n">
        <f aca="false">IF(AD101&lt;&gt;"",AD101,IFERROR(IF(INDEX('Настройки цен'!$B$17:$B$24,MATCH(E101,'Настройки цен'!$A$17:$A$24,0))="",'Настройки цен'!$B$5,INDEX('Настройки цен'!$B$17:$B$24,MATCH(E101,'Настройки цен'!$A$17:$A$24,0))),'Настройки цен'!$B$5))</f>
        <v>0</v>
      </c>
      <c r="AF101" s="9" t="str">
        <f aca="false">IF(AC101="","",ROUND(AC101*(1+AE101)/'Настройки цен'!$B$6,0)*'Настройки цен'!$B$6)</f>
        <v/>
      </c>
      <c r="AG101" s="12" t="str">
        <f aca="false">IF(OR(AC101="",H101=""),"",H101/AC101-1)</f>
        <v/>
      </c>
      <c r="AH101" s="7"/>
    </row>
    <row r="102" customFormat="false" ht="15.75" hidden="false" customHeight="true" outlineLevel="0" collapsed="false">
      <c r="A102" s="3" t="s">
        <v>224</v>
      </c>
      <c r="B102" s="3" t="s">
        <v>225</v>
      </c>
      <c r="D102" s="3" t="s">
        <v>222</v>
      </c>
      <c r="E102" s="3" t="s">
        <v>70</v>
      </c>
      <c r="F102" s="4"/>
      <c r="G102" s="5"/>
      <c r="H102" s="5" t="n">
        <v>2000</v>
      </c>
      <c r="I102" s="3" t="n">
        <v>11</v>
      </c>
      <c r="K102" s="6" t="n">
        <f aca="false">I102-J102</f>
        <v>11</v>
      </c>
      <c r="L102" s="5" t="n">
        <f aca="false">K102*H102</f>
        <v>22000</v>
      </c>
      <c r="M102" s="5" t="n">
        <f aca="false">IF(A102="","",H102*J102)</f>
        <v>0</v>
      </c>
      <c r="N102" s="5" t="n">
        <f aca="false">IF(A102="","",G102*J102)</f>
        <v>0</v>
      </c>
      <c r="O102" s="5" t="n">
        <f aca="false">IF(A102="","",M102-N102)</f>
        <v>0</v>
      </c>
      <c r="Q102" s="7" t="s">
        <v>224</v>
      </c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7" t="n">
        <f aca="false">SUMPRODUCT(--(R102:AA102&gt;0),'Настройки цен'!$B$12:$K$12)</f>
        <v>0</v>
      </c>
      <c r="AC102" s="9" t="str">
        <f aca="false">IF(AB102=0,"",SUMPRODUCT(R102:AA102,'Настройки цен'!$B$11:$K$11,'Настройки цен'!$B$12:$K$12)/AB102)</f>
        <v/>
      </c>
      <c r="AD102" s="10"/>
      <c r="AE102" s="11" t="n">
        <f aca="false">IF(AD102&lt;&gt;"",AD102,IFERROR(IF(INDEX('Настройки цен'!$B$17:$B$24,MATCH(E102,'Настройки цен'!$A$17:$A$24,0))="",'Настройки цен'!$B$5,INDEX('Настройки цен'!$B$17:$B$24,MATCH(E102,'Настройки цен'!$A$17:$A$24,0))),'Настройки цен'!$B$5))</f>
        <v>0</v>
      </c>
      <c r="AF102" s="9" t="str">
        <f aca="false">IF(AC102="","",ROUND(AC102*(1+AE102)/'Настройки цен'!$B$6,0)*'Настройки цен'!$B$6)</f>
        <v/>
      </c>
      <c r="AG102" s="12" t="str">
        <f aca="false">IF(OR(AC102="",H102=""),"",H102/AC102-1)</f>
        <v/>
      </c>
      <c r="AH102" s="7"/>
    </row>
    <row r="103" customFormat="false" ht="15.75" hidden="false" customHeight="true" outlineLevel="0" collapsed="false">
      <c r="A103" s="3" t="s">
        <v>226</v>
      </c>
      <c r="B103" s="3" t="s">
        <v>131</v>
      </c>
      <c r="D103" s="3" t="s">
        <v>41</v>
      </c>
      <c r="E103" s="3" t="s">
        <v>55</v>
      </c>
      <c r="F103" s="4"/>
      <c r="G103" s="5"/>
      <c r="H103" s="5" t="n">
        <v>2000</v>
      </c>
      <c r="I103" s="3" t="n">
        <v>15</v>
      </c>
      <c r="K103" s="6" t="n">
        <f aca="false">I103-J103</f>
        <v>15</v>
      </c>
      <c r="L103" s="5" t="n">
        <f aca="false">K103*H103</f>
        <v>30000</v>
      </c>
      <c r="M103" s="5" t="n">
        <f aca="false">IF(A103="","",H103*J103)</f>
        <v>0</v>
      </c>
      <c r="N103" s="5" t="n">
        <f aca="false">IF(A103="","",G103*J103)</f>
        <v>0</v>
      </c>
      <c r="O103" s="5" t="n">
        <f aca="false">IF(A103="","",M103-N103)</f>
        <v>0</v>
      </c>
      <c r="Q103" s="7" t="s">
        <v>226</v>
      </c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7" t="n">
        <f aca="false">SUMPRODUCT(--(R103:AA103&gt;0),'Настройки цен'!$B$12:$K$12)</f>
        <v>0</v>
      </c>
      <c r="AC103" s="9" t="str">
        <f aca="false">IF(AB103=0,"",SUMPRODUCT(R103:AA103,'Настройки цен'!$B$11:$K$11,'Настройки цен'!$B$12:$K$12)/AB103)</f>
        <v/>
      </c>
      <c r="AD103" s="10"/>
      <c r="AE103" s="11" t="n">
        <f aca="false">IF(AD103&lt;&gt;"",AD103,IFERROR(IF(INDEX('Настройки цен'!$B$17:$B$24,MATCH(E103,'Настройки цен'!$A$17:$A$24,0))="",'Настройки цен'!$B$5,INDEX('Настройки цен'!$B$17:$B$24,MATCH(E103,'Настройки цен'!$A$17:$A$24,0))),'Настройки цен'!$B$5))</f>
        <v>0</v>
      </c>
      <c r="AF103" s="9" t="str">
        <f aca="false">IF(AC103="","",ROUND(AC103*(1+AE103)/'Настройки цен'!$B$6,0)*'Настройки цен'!$B$6)</f>
        <v/>
      </c>
      <c r="AG103" s="12" t="str">
        <f aca="false">IF(OR(AC103="",H103=""),"",H103/AC103-1)</f>
        <v/>
      </c>
      <c r="AH103" s="7"/>
    </row>
    <row r="104" customFormat="false" ht="15.75" hidden="false" customHeight="true" outlineLevel="0" collapsed="false">
      <c r="A104" s="3" t="s">
        <v>227</v>
      </c>
      <c r="B104" s="3" t="s">
        <v>228</v>
      </c>
      <c r="D104" s="3" t="s">
        <v>229</v>
      </c>
      <c r="E104" s="3" t="s">
        <v>70</v>
      </c>
      <c r="F104" s="4"/>
      <c r="G104" s="5"/>
      <c r="H104" s="5" t="n">
        <v>2000</v>
      </c>
      <c r="I104" s="3" t="n">
        <v>1</v>
      </c>
      <c r="K104" s="6" t="n">
        <f aca="false">I104-J104</f>
        <v>1</v>
      </c>
      <c r="L104" s="5" t="n">
        <f aca="false">K104*H104</f>
        <v>2000</v>
      </c>
      <c r="M104" s="5" t="n">
        <f aca="false">IF(A104="","",H104*J104)</f>
        <v>0</v>
      </c>
      <c r="N104" s="5" t="n">
        <f aca="false">IF(A104="","",G104*J104)</f>
        <v>0</v>
      </c>
      <c r="O104" s="5" t="n">
        <f aca="false">IF(A104="","",M104-N104)</f>
        <v>0</v>
      </c>
      <c r="Q104" s="7" t="s">
        <v>227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7" t="n">
        <f aca="false">SUMPRODUCT(--(R104:AA104&gt;0),'Настройки цен'!$B$12:$K$12)</f>
        <v>0</v>
      </c>
      <c r="AC104" s="9" t="str">
        <f aca="false">IF(AB104=0,"",SUMPRODUCT(R104:AA104,'Настройки цен'!$B$11:$K$11,'Настройки цен'!$B$12:$K$12)/AB104)</f>
        <v/>
      </c>
      <c r="AD104" s="10"/>
      <c r="AE104" s="11" t="n">
        <f aca="false">IF(AD104&lt;&gt;"",AD104,IFERROR(IF(INDEX('Настройки цен'!$B$17:$B$24,MATCH(E104,'Настройки цен'!$A$17:$A$24,0))="",'Настройки цен'!$B$5,INDEX('Настройки цен'!$B$17:$B$24,MATCH(E104,'Настройки цен'!$A$17:$A$24,0))),'Настройки цен'!$B$5))</f>
        <v>0</v>
      </c>
      <c r="AF104" s="9" t="str">
        <f aca="false">IF(AC104="","",ROUND(AC104*(1+AE104)/'Настройки цен'!$B$6,0)*'Настройки цен'!$B$6)</f>
        <v/>
      </c>
      <c r="AG104" s="12" t="str">
        <f aca="false">IF(OR(AC104="",H104=""),"",H104/AC104-1)</f>
        <v/>
      </c>
      <c r="AH104" s="7"/>
    </row>
    <row r="105" customFormat="false" ht="15.75" hidden="false" customHeight="true" outlineLevel="0" collapsed="false">
      <c r="A105" s="3" t="s">
        <v>230</v>
      </c>
      <c r="B105" s="3" t="s">
        <v>231</v>
      </c>
      <c r="D105" s="3" t="s">
        <v>222</v>
      </c>
      <c r="E105" s="3" t="s">
        <v>55</v>
      </c>
      <c r="F105" s="4"/>
      <c r="G105" s="5"/>
      <c r="H105" s="5" t="n">
        <v>2000</v>
      </c>
      <c r="I105" s="3" t="n">
        <v>1</v>
      </c>
      <c r="K105" s="6" t="n">
        <f aca="false">I105-J105</f>
        <v>1</v>
      </c>
      <c r="L105" s="5" t="n">
        <f aca="false">K105*H105</f>
        <v>2000</v>
      </c>
      <c r="M105" s="5" t="n">
        <f aca="false">IF(A105="","",H105*J105)</f>
        <v>0</v>
      </c>
      <c r="N105" s="5" t="n">
        <f aca="false">IF(A105="","",G105*J105)</f>
        <v>0</v>
      </c>
      <c r="O105" s="5" t="n">
        <f aca="false">IF(A105="","",M105-N105)</f>
        <v>0</v>
      </c>
      <c r="Q105" s="7" t="s">
        <v>230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7" t="n">
        <f aca="false">SUMPRODUCT(--(R105:AA105&gt;0),'Настройки цен'!$B$12:$K$12)</f>
        <v>0</v>
      </c>
      <c r="AC105" s="9" t="str">
        <f aca="false">IF(AB105=0,"",SUMPRODUCT(R105:AA105,'Настройки цен'!$B$11:$K$11,'Настройки цен'!$B$12:$K$12)/AB105)</f>
        <v/>
      </c>
      <c r="AD105" s="10"/>
      <c r="AE105" s="11" t="n">
        <f aca="false">IF(AD105&lt;&gt;"",AD105,IFERROR(IF(INDEX('Настройки цен'!$B$17:$B$24,MATCH(E105,'Настройки цен'!$A$17:$A$24,0))="",'Настройки цен'!$B$5,INDEX('Настройки цен'!$B$17:$B$24,MATCH(E105,'Настройки цен'!$A$17:$A$24,0))),'Настройки цен'!$B$5))</f>
        <v>0</v>
      </c>
      <c r="AF105" s="9" t="str">
        <f aca="false">IF(AC105="","",ROUND(AC105*(1+AE105)/'Настройки цен'!$B$6,0)*'Настройки цен'!$B$6)</f>
        <v/>
      </c>
      <c r="AG105" s="12" t="str">
        <f aca="false">IF(OR(AC105="",H105=""),"",H105/AC105-1)</f>
        <v/>
      </c>
      <c r="AH105" s="7"/>
    </row>
    <row r="106" customFormat="false" ht="15.75" hidden="false" customHeight="true" outlineLevel="0" collapsed="false">
      <c r="A106" s="3" t="s">
        <v>232</v>
      </c>
      <c r="B106" s="3" t="s">
        <v>233</v>
      </c>
      <c r="D106" s="3" t="s">
        <v>234</v>
      </c>
      <c r="E106" s="3" t="s">
        <v>70</v>
      </c>
      <c r="F106" s="4"/>
      <c r="G106" s="5"/>
      <c r="H106" s="5" t="n">
        <v>2000</v>
      </c>
      <c r="I106" s="3" t="n">
        <v>1</v>
      </c>
      <c r="K106" s="6" t="n">
        <f aca="false">I106-J106</f>
        <v>1</v>
      </c>
      <c r="L106" s="5" t="n">
        <f aca="false">K106*H106</f>
        <v>2000</v>
      </c>
      <c r="M106" s="5" t="n">
        <f aca="false">IF(A106="","",H106*J106)</f>
        <v>0</v>
      </c>
      <c r="N106" s="5" t="n">
        <f aca="false">IF(A106="","",G106*J106)</f>
        <v>0</v>
      </c>
      <c r="O106" s="5" t="n">
        <f aca="false">IF(A106="","",M106-N106)</f>
        <v>0</v>
      </c>
      <c r="Q106" s="7" t="s">
        <v>232</v>
      </c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7" t="n">
        <f aca="false">SUMPRODUCT(--(R106:AA106&gt;0),'Настройки цен'!$B$12:$K$12)</f>
        <v>0</v>
      </c>
      <c r="AC106" s="9" t="str">
        <f aca="false">IF(AB106=0,"",SUMPRODUCT(R106:AA106,'Настройки цен'!$B$11:$K$11,'Настройки цен'!$B$12:$K$12)/AB106)</f>
        <v/>
      </c>
      <c r="AD106" s="10"/>
      <c r="AE106" s="11" t="n">
        <f aca="false">IF(AD106&lt;&gt;"",AD106,IFERROR(IF(INDEX('Настройки цен'!$B$17:$B$24,MATCH(E106,'Настройки цен'!$A$17:$A$24,0))="",'Настройки цен'!$B$5,INDEX('Настройки цен'!$B$17:$B$24,MATCH(E106,'Настройки цен'!$A$17:$A$24,0))),'Настройки цен'!$B$5))</f>
        <v>0</v>
      </c>
      <c r="AF106" s="9" t="str">
        <f aca="false">IF(AC106="","",ROUND(AC106*(1+AE106)/'Настройки цен'!$B$6,0)*'Настройки цен'!$B$6)</f>
        <v/>
      </c>
      <c r="AG106" s="12" t="str">
        <f aca="false">IF(OR(AC106="",H106=""),"",H106/AC106-1)</f>
        <v/>
      </c>
      <c r="AH106" s="7"/>
    </row>
    <row r="107" customFormat="false" ht="15.75" hidden="false" customHeight="true" outlineLevel="0" collapsed="false">
      <c r="A107" s="3" t="s">
        <v>235</v>
      </c>
      <c r="B107" s="3" t="s">
        <v>236</v>
      </c>
      <c r="D107" s="3" t="s">
        <v>41</v>
      </c>
      <c r="E107" s="3" t="s">
        <v>55</v>
      </c>
      <c r="F107" s="4"/>
      <c r="G107" s="5"/>
      <c r="H107" s="5" t="n">
        <v>2000</v>
      </c>
      <c r="I107" s="3" t="n">
        <v>10</v>
      </c>
      <c r="K107" s="6" t="n">
        <f aca="false">I107-J107</f>
        <v>10</v>
      </c>
      <c r="L107" s="5" t="n">
        <f aca="false">K107*H107</f>
        <v>20000</v>
      </c>
      <c r="M107" s="5" t="n">
        <f aca="false">IF(A107="","",H107*J107)</f>
        <v>0</v>
      </c>
      <c r="N107" s="5" t="n">
        <f aca="false">IF(A107="","",G107*J107)</f>
        <v>0</v>
      </c>
      <c r="O107" s="5" t="n">
        <f aca="false">IF(A107="","",M107-N107)</f>
        <v>0</v>
      </c>
      <c r="Q107" s="7" t="s">
        <v>235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7" t="n">
        <f aca="false">SUMPRODUCT(--(R107:AA107&gt;0),'Настройки цен'!$B$12:$K$12)</f>
        <v>0</v>
      </c>
      <c r="AC107" s="9" t="str">
        <f aca="false">IF(AB107=0,"",SUMPRODUCT(R107:AA107,'Настройки цен'!$B$11:$K$11,'Настройки цен'!$B$12:$K$12)/AB107)</f>
        <v/>
      </c>
      <c r="AD107" s="10"/>
      <c r="AE107" s="11" t="n">
        <f aca="false">IF(AD107&lt;&gt;"",AD107,IFERROR(IF(INDEX('Настройки цен'!$B$17:$B$24,MATCH(E107,'Настройки цен'!$A$17:$A$24,0))="",'Настройки цен'!$B$5,INDEX('Настройки цен'!$B$17:$B$24,MATCH(E107,'Настройки цен'!$A$17:$A$24,0))),'Настройки цен'!$B$5))</f>
        <v>0</v>
      </c>
      <c r="AF107" s="9" t="str">
        <f aca="false">IF(AC107="","",ROUND(AC107*(1+AE107)/'Настройки цен'!$B$6,0)*'Настройки цен'!$B$6)</f>
        <v/>
      </c>
      <c r="AG107" s="12" t="str">
        <f aca="false">IF(OR(AC107="",H107=""),"",H107/AC107-1)</f>
        <v/>
      </c>
      <c r="AH107" s="7"/>
    </row>
    <row r="108" customFormat="false" ht="15.75" hidden="false" customHeight="true" outlineLevel="0" collapsed="false">
      <c r="B108" s="3" t="s">
        <v>237</v>
      </c>
      <c r="D108" s="3" t="s">
        <v>41</v>
      </c>
      <c r="E108" s="3" t="s">
        <v>55</v>
      </c>
      <c r="F108" s="4"/>
      <c r="G108" s="5"/>
      <c r="H108" s="5" t="n">
        <v>3000</v>
      </c>
      <c r="I108" s="3" t="n">
        <v>8</v>
      </c>
      <c r="K108" s="6" t="n">
        <f aca="false">I108-J108</f>
        <v>8</v>
      </c>
      <c r="L108" s="5" t="n">
        <f aca="false">K108*H108</f>
        <v>24000</v>
      </c>
      <c r="M108" s="5" t="str">
        <f aca="false">IF(A108="","",H108*J108)</f>
        <v/>
      </c>
      <c r="N108" s="5" t="str">
        <f aca="false">IF(A108="","",G108*J108)</f>
        <v/>
      </c>
      <c r="O108" s="5" t="str">
        <f aca="false">IF(A108="","",M108-N108)</f>
        <v/>
      </c>
      <c r="Q108" s="7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7" t="n">
        <f aca="false">SUMPRODUCT(--(R108:AA108&gt;0),'Настройки цен'!$B$12:$K$12)</f>
        <v>0</v>
      </c>
      <c r="AC108" s="9" t="str">
        <f aca="false">IF(AB108=0,"",SUMPRODUCT(R108:AA108,'Настройки цен'!$B$11:$K$11,'Настройки цен'!$B$12:$K$12)/AB108)</f>
        <v/>
      </c>
      <c r="AD108" s="10"/>
      <c r="AE108" s="11" t="n">
        <f aca="false">IF(AD108&lt;&gt;"",AD108,IFERROR(IF(INDEX('Настройки цен'!$B$17:$B$24,MATCH(E108,'Настройки цен'!$A$17:$A$24,0))="",'Настройки цен'!$B$5,INDEX('Настройки цен'!$B$17:$B$24,MATCH(E108,'Настройки цен'!$A$17:$A$24,0))),'Настройки цен'!$B$5))</f>
        <v>0</v>
      </c>
      <c r="AF108" s="9" t="str">
        <f aca="false">IF(AC108="","",ROUND(AC108*(1+AE108)/'Настройки цен'!$B$6,0)*'Настройки цен'!$B$6)</f>
        <v/>
      </c>
      <c r="AG108" s="12" t="str">
        <f aca="false">IF(OR(AC108="",H108=""),"",H108/AC108-1)</f>
        <v/>
      </c>
      <c r="AH108" s="7"/>
    </row>
    <row r="109" customFormat="false" ht="15.75" hidden="false" customHeight="true" outlineLevel="0" collapsed="false">
      <c r="B109" s="3" t="s">
        <v>238</v>
      </c>
      <c r="D109" s="3" t="s">
        <v>41</v>
      </c>
      <c r="E109" s="3" t="s">
        <v>55</v>
      </c>
      <c r="F109" s="4"/>
      <c r="G109" s="5"/>
      <c r="H109" s="5" t="n">
        <v>6000</v>
      </c>
      <c r="I109" s="3" t="n">
        <v>1</v>
      </c>
      <c r="K109" s="6" t="n">
        <f aca="false">I109-J109</f>
        <v>1</v>
      </c>
      <c r="L109" s="5" t="n">
        <f aca="false">K109*H109</f>
        <v>6000</v>
      </c>
      <c r="M109" s="5" t="str">
        <f aca="false">IF(A109="","",H109*J109)</f>
        <v/>
      </c>
      <c r="N109" s="5" t="str">
        <f aca="false">IF(A109="","",G109*J109)</f>
        <v/>
      </c>
      <c r="O109" s="5" t="str">
        <f aca="false">IF(A109="","",M109-N109)</f>
        <v/>
      </c>
      <c r="Q109" s="7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7" t="n">
        <f aca="false">SUMPRODUCT(--(R109:AA109&gt;0),'Настройки цен'!$B$12:$K$12)</f>
        <v>0</v>
      </c>
      <c r="AC109" s="9" t="str">
        <f aca="false">IF(AB109=0,"",SUMPRODUCT(R109:AA109,'Настройки цен'!$B$11:$K$11,'Настройки цен'!$B$12:$K$12)/AB109)</f>
        <v/>
      </c>
      <c r="AD109" s="10"/>
      <c r="AE109" s="11" t="n">
        <f aca="false">IF(AD109&lt;&gt;"",AD109,IFERROR(IF(INDEX('Настройки цен'!$B$17:$B$24,MATCH(E109,'Настройки цен'!$A$17:$A$24,0))="",'Настройки цен'!$B$5,INDEX('Настройки цен'!$B$17:$B$24,MATCH(E109,'Настройки цен'!$A$17:$A$24,0))),'Настройки цен'!$B$5))</f>
        <v>0</v>
      </c>
      <c r="AF109" s="9" t="str">
        <f aca="false">IF(AC109="","",ROUND(AC109*(1+AE109)/'Настройки цен'!$B$6,0)*'Настройки цен'!$B$6)</f>
        <v/>
      </c>
      <c r="AG109" s="12" t="str">
        <f aca="false">IF(OR(AC109="",H109=""),"",H109/AC109-1)</f>
        <v/>
      </c>
      <c r="AH109" s="7"/>
    </row>
    <row r="110" customFormat="false" ht="15.75" hidden="false" customHeight="true" outlineLevel="0" collapsed="false">
      <c r="B110" s="3" t="s">
        <v>239</v>
      </c>
      <c r="D110" s="3" t="s">
        <v>41</v>
      </c>
      <c r="E110" s="3" t="s">
        <v>55</v>
      </c>
      <c r="F110" s="4"/>
      <c r="G110" s="5"/>
      <c r="H110" s="5" t="n">
        <v>3000</v>
      </c>
      <c r="I110" s="3" t="n">
        <v>20</v>
      </c>
      <c r="K110" s="6" t="n">
        <f aca="false">I110-J110</f>
        <v>20</v>
      </c>
      <c r="L110" s="5" t="n">
        <f aca="false">K110*H110</f>
        <v>60000</v>
      </c>
      <c r="M110" s="5" t="str">
        <f aca="false">IF(A110="","",H110*J110)</f>
        <v/>
      </c>
      <c r="N110" s="5" t="str">
        <f aca="false">IF(A110="","",G110*J110)</f>
        <v/>
      </c>
      <c r="O110" s="5" t="str">
        <f aca="false">IF(A110="","",M110-N110)</f>
        <v/>
      </c>
      <c r="Q110" s="7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7" t="n">
        <f aca="false">SUMPRODUCT(--(R110:AA110&gt;0),'Настройки цен'!$B$12:$K$12)</f>
        <v>0</v>
      </c>
      <c r="AC110" s="9" t="str">
        <f aca="false">IF(AB110=0,"",SUMPRODUCT(R110:AA110,'Настройки цен'!$B$11:$K$11,'Настройки цен'!$B$12:$K$12)/AB110)</f>
        <v/>
      </c>
      <c r="AD110" s="10"/>
      <c r="AE110" s="11" t="n">
        <f aca="false">IF(AD110&lt;&gt;"",AD110,IFERROR(IF(INDEX('Настройки цен'!$B$17:$B$24,MATCH(E110,'Настройки цен'!$A$17:$A$24,0))="",'Настройки цен'!$B$5,INDEX('Настройки цен'!$B$17:$B$24,MATCH(E110,'Настройки цен'!$A$17:$A$24,0))),'Настройки цен'!$B$5))</f>
        <v>0</v>
      </c>
      <c r="AF110" s="9" t="str">
        <f aca="false">IF(AC110="","",ROUND(AC110*(1+AE110)/'Настройки цен'!$B$6,0)*'Настройки цен'!$B$6)</f>
        <v/>
      </c>
      <c r="AG110" s="12" t="str">
        <f aca="false">IF(OR(AC110="",H110=""),"",H110/AC110-1)</f>
        <v/>
      </c>
      <c r="AH110" s="7"/>
    </row>
    <row r="111" customFormat="false" ht="15.75" hidden="false" customHeight="true" outlineLevel="0" collapsed="false">
      <c r="B111" s="3" t="s">
        <v>240</v>
      </c>
      <c r="D111" s="3" t="s">
        <v>41</v>
      </c>
      <c r="E111" s="3" t="s">
        <v>55</v>
      </c>
      <c r="F111" s="4"/>
      <c r="G111" s="5"/>
      <c r="H111" s="5" t="n">
        <v>3000</v>
      </c>
      <c r="I111" s="3" t="n">
        <v>3</v>
      </c>
      <c r="K111" s="6" t="n">
        <f aca="false">I111-J111</f>
        <v>3</v>
      </c>
      <c r="L111" s="5" t="n">
        <f aca="false">K111*H111</f>
        <v>9000</v>
      </c>
      <c r="M111" s="5" t="str">
        <f aca="false">IF(A111="","",H111*J111)</f>
        <v/>
      </c>
      <c r="N111" s="5" t="str">
        <f aca="false">IF(A111="","",G111*J111)</f>
        <v/>
      </c>
      <c r="O111" s="5" t="str">
        <f aca="false">IF(A111="","",M111-N111)</f>
        <v/>
      </c>
      <c r="Q111" s="7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7" t="n">
        <f aca="false">SUMPRODUCT(--(R111:AA111&gt;0),'Настройки цен'!$B$12:$K$12)</f>
        <v>0</v>
      </c>
      <c r="AC111" s="9" t="str">
        <f aca="false">IF(AB111=0,"",SUMPRODUCT(R111:AA111,'Настройки цен'!$B$11:$K$11,'Настройки цен'!$B$12:$K$12)/AB111)</f>
        <v/>
      </c>
      <c r="AD111" s="10"/>
      <c r="AE111" s="11" t="n">
        <f aca="false">IF(AD111&lt;&gt;"",AD111,IFERROR(IF(INDEX('Настройки цен'!$B$17:$B$24,MATCH(E111,'Настройки цен'!$A$17:$A$24,0))="",'Настройки цен'!$B$5,INDEX('Настройки цен'!$B$17:$B$24,MATCH(E111,'Настройки цен'!$A$17:$A$24,0))),'Настройки цен'!$B$5))</f>
        <v>0</v>
      </c>
      <c r="AF111" s="9" t="str">
        <f aca="false">IF(AC111="","",ROUND(AC111*(1+AE111)/'Настройки цен'!$B$6,0)*'Настройки цен'!$B$6)</f>
        <v/>
      </c>
      <c r="AG111" s="12" t="str">
        <f aca="false">IF(OR(AC111="",H111=""),"",H111/AC111-1)</f>
        <v/>
      </c>
      <c r="AH111" s="7"/>
    </row>
    <row r="112" customFormat="false" ht="15.75" hidden="false" customHeight="true" outlineLevel="0" collapsed="false">
      <c r="B112" s="3" t="s">
        <v>241</v>
      </c>
      <c r="D112" s="3" t="s">
        <v>242</v>
      </c>
      <c r="E112" s="3" t="s">
        <v>70</v>
      </c>
      <c r="F112" s="4"/>
      <c r="G112" s="5"/>
      <c r="H112" s="5" t="n">
        <v>2000</v>
      </c>
      <c r="I112" s="3" t="n">
        <v>2</v>
      </c>
      <c r="K112" s="6" t="n">
        <f aca="false">I112-J112</f>
        <v>2</v>
      </c>
      <c r="L112" s="5" t="n">
        <f aca="false">K112*H112</f>
        <v>4000</v>
      </c>
      <c r="M112" s="5" t="str">
        <f aca="false">IF(A112="","",H112*J112)</f>
        <v/>
      </c>
      <c r="N112" s="5" t="str">
        <f aca="false">IF(A112="","",G112*J112)</f>
        <v/>
      </c>
      <c r="O112" s="5" t="str">
        <f aca="false">IF(A112="","",M112-N112)</f>
        <v/>
      </c>
      <c r="Q112" s="7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7" t="n">
        <f aca="false">SUMPRODUCT(--(R112:AA112&gt;0),'Настройки цен'!$B$12:$K$12)</f>
        <v>0</v>
      </c>
      <c r="AC112" s="9" t="str">
        <f aca="false">IF(AB112=0,"",SUMPRODUCT(R112:AA112,'Настройки цен'!$B$11:$K$11,'Настройки цен'!$B$12:$K$12)/AB112)</f>
        <v/>
      </c>
      <c r="AD112" s="10"/>
      <c r="AE112" s="11" t="n">
        <f aca="false">IF(AD112&lt;&gt;"",AD112,IFERROR(IF(INDEX('Настройки цен'!$B$17:$B$24,MATCH(E112,'Настройки цен'!$A$17:$A$24,0))="",'Настройки цен'!$B$5,INDEX('Настройки цен'!$B$17:$B$24,MATCH(E112,'Настройки цен'!$A$17:$A$24,0))),'Настройки цен'!$B$5))</f>
        <v>0</v>
      </c>
      <c r="AF112" s="9" t="str">
        <f aca="false">IF(AC112="","",ROUND(AC112*(1+AE112)/'Настройки цен'!$B$6,0)*'Настройки цен'!$B$6)</f>
        <v/>
      </c>
      <c r="AG112" s="12" t="str">
        <f aca="false">IF(OR(AC112="",H112=""),"",H112/AC112-1)</f>
        <v/>
      </c>
      <c r="AH112" s="7"/>
    </row>
    <row r="113" customFormat="false" ht="15.75" hidden="false" customHeight="true" outlineLevel="0" collapsed="false">
      <c r="B113" s="3" t="s">
        <v>243</v>
      </c>
      <c r="D113" s="3" t="s">
        <v>82</v>
      </c>
      <c r="E113" s="3" t="s">
        <v>70</v>
      </c>
      <c r="F113" s="4"/>
      <c r="G113" s="5"/>
      <c r="H113" s="5" t="n">
        <v>8000</v>
      </c>
      <c r="I113" s="3" t="n">
        <v>5</v>
      </c>
      <c r="K113" s="6" t="n">
        <f aca="false">I113-J113</f>
        <v>5</v>
      </c>
      <c r="L113" s="5" t="n">
        <f aca="false">K113*H113</f>
        <v>40000</v>
      </c>
      <c r="M113" s="5" t="str">
        <f aca="false">IF(A113="","",H113*J113)</f>
        <v/>
      </c>
      <c r="N113" s="5" t="str">
        <f aca="false">IF(A113="","",G113*J113)</f>
        <v/>
      </c>
      <c r="O113" s="5" t="str">
        <f aca="false">IF(A113="","",M113-N113)</f>
        <v/>
      </c>
      <c r="Q113" s="7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7" t="n">
        <f aca="false">SUMPRODUCT(--(R113:AA113&gt;0),'Настройки цен'!$B$12:$K$12)</f>
        <v>0</v>
      </c>
      <c r="AC113" s="9" t="str">
        <f aca="false">IF(AB113=0,"",SUMPRODUCT(R113:AA113,'Настройки цен'!$B$11:$K$11,'Настройки цен'!$B$12:$K$12)/AB113)</f>
        <v/>
      </c>
      <c r="AD113" s="10"/>
      <c r="AE113" s="11" t="n">
        <f aca="false">IF(AD113&lt;&gt;"",AD113,IFERROR(IF(INDEX('Настройки цен'!$B$17:$B$24,MATCH(E113,'Настройки цен'!$A$17:$A$24,0))="",'Настройки цен'!$B$5,INDEX('Настройки цен'!$B$17:$B$24,MATCH(E113,'Настройки цен'!$A$17:$A$24,0))),'Настройки цен'!$B$5))</f>
        <v>0</v>
      </c>
      <c r="AF113" s="9" t="str">
        <f aca="false">IF(AC113="","",ROUND(AC113*(1+AE113)/'Настройки цен'!$B$6,0)*'Настройки цен'!$B$6)</f>
        <v/>
      </c>
      <c r="AG113" s="12" t="str">
        <f aca="false">IF(OR(AC113="",H113=""),"",H113/AC113-1)</f>
        <v/>
      </c>
      <c r="AH113" s="7"/>
    </row>
    <row r="114" customFormat="false" ht="15.75" hidden="false" customHeight="true" outlineLevel="0" collapsed="false">
      <c r="A114" s="3" t="n">
        <v>296515</v>
      </c>
      <c r="B114" s="3" t="s">
        <v>244</v>
      </c>
      <c r="D114" s="3" t="s">
        <v>41</v>
      </c>
      <c r="E114" s="3" t="s">
        <v>135</v>
      </c>
      <c r="F114" s="4"/>
      <c r="G114" s="5"/>
      <c r="H114" s="5" t="n">
        <v>2000</v>
      </c>
      <c r="I114" s="3" t="n">
        <v>8</v>
      </c>
      <c r="K114" s="6" t="n">
        <f aca="false">I114-J114</f>
        <v>8</v>
      </c>
      <c r="L114" s="5" t="n">
        <f aca="false">K114*H114</f>
        <v>16000</v>
      </c>
      <c r="M114" s="5" t="n">
        <f aca="false">IF(A114="","",H114*J114)</f>
        <v>0</v>
      </c>
      <c r="N114" s="5" t="n">
        <f aca="false">IF(A114="","",G114*J114)</f>
        <v>0</v>
      </c>
      <c r="O114" s="5" t="n">
        <f aca="false">IF(A114="","",M114-N114)</f>
        <v>0</v>
      </c>
      <c r="Q114" s="7" t="s">
        <v>245</v>
      </c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7" t="n">
        <f aca="false">SUMPRODUCT(--(R114:AA114&gt;0),'Настройки цен'!$B$12:$K$12)</f>
        <v>0</v>
      </c>
      <c r="AC114" s="9" t="str">
        <f aca="false">IF(AB114=0,"",SUMPRODUCT(R114:AA114,'Настройки цен'!$B$11:$K$11,'Настройки цен'!$B$12:$K$12)/AB114)</f>
        <v/>
      </c>
      <c r="AD114" s="10"/>
      <c r="AE114" s="11" t="n">
        <f aca="false">IF(AD114&lt;&gt;"",AD114,IFERROR(IF(INDEX('Настройки цен'!$B$17:$B$24,MATCH(E114,'Настройки цен'!$A$17:$A$24,0))="",'Настройки цен'!$B$5,INDEX('Настройки цен'!$B$17:$B$24,MATCH(E114,'Настройки цен'!$A$17:$A$24,0))),'Настройки цен'!$B$5))</f>
        <v>0</v>
      </c>
      <c r="AF114" s="9" t="str">
        <f aca="false">IF(AC114="","",ROUND(AC114*(1+AE114)/'Настройки цен'!$B$6,0)*'Настройки цен'!$B$6)</f>
        <v/>
      </c>
      <c r="AG114" s="12" t="str">
        <f aca="false">IF(OR(AC114="",H114=""),"",H114/AC114-1)</f>
        <v/>
      </c>
      <c r="AH114" s="7"/>
    </row>
    <row r="115" customFormat="false" ht="15.75" hidden="false" customHeight="true" outlineLevel="0" collapsed="false">
      <c r="A115" s="3" t="n">
        <v>4521802014</v>
      </c>
      <c r="B115" s="3" t="s">
        <v>246</v>
      </c>
      <c r="D115" s="3" t="s">
        <v>41</v>
      </c>
      <c r="E115" s="3" t="s">
        <v>55</v>
      </c>
      <c r="F115" s="4"/>
      <c r="G115" s="5"/>
      <c r="H115" s="5" t="n">
        <v>120000</v>
      </c>
      <c r="I115" s="3" t="n">
        <v>2</v>
      </c>
      <c r="K115" s="6" t="n">
        <f aca="false">I115-J115</f>
        <v>2</v>
      </c>
      <c r="L115" s="5" t="n">
        <f aca="false">K115*H115</f>
        <v>240000</v>
      </c>
      <c r="M115" s="5" t="n">
        <f aca="false">IF(A115="","",H115*J115)</f>
        <v>0</v>
      </c>
      <c r="N115" s="5" t="n">
        <f aca="false">IF(A115="","",G115*J115)</f>
        <v>0</v>
      </c>
      <c r="O115" s="5" t="n">
        <f aca="false">IF(A115="","",M115-N115)</f>
        <v>0</v>
      </c>
      <c r="Q115" s="7" t="s">
        <v>247</v>
      </c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7" t="n">
        <f aca="false">SUMPRODUCT(--(R115:AA115&gt;0),'Настройки цен'!$B$12:$K$12)</f>
        <v>0</v>
      </c>
      <c r="AC115" s="9" t="str">
        <f aca="false">IF(AB115=0,"",SUMPRODUCT(R115:AA115,'Настройки цен'!$B$11:$K$11,'Настройки цен'!$B$12:$K$12)/AB115)</f>
        <v/>
      </c>
      <c r="AD115" s="10"/>
      <c r="AE115" s="11" t="n">
        <f aca="false">IF(AD115&lt;&gt;"",AD115,IFERROR(IF(INDEX('Настройки цен'!$B$17:$B$24,MATCH(E115,'Настройки цен'!$A$17:$A$24,0))="",'Настройки цен'!$B$5,INDEX('Настройки цен'!$B$17:$B$24,MATCH(E115,'Настройки цен'!$A$17:$A$24,0))),'Настройки цен'!$B$5))</f>
        <v>0</v>
      </c>
      <c r="AF115" s="9" t="str">
        <f aca="false">IF(AC115="","",ROUND(AC115*(1+AE115)/'Настройки цен'!$B$6,0)*'Настройки цен'!$B$6)</f>
        <v/>
      </c>
      <c r="AG115" s="12" t="str">
        <f aca="false">IF(OR(AC115="",H115=""),"",H115/AC115-1)</f>
        <v/>
      </c>
      <c r="AH115" s="7"/>
    </row>
    <row r="116" customFormat="false" ht="15.75" hidden="false" customHeight="true" outlineLevel="0" collapsed="false">
      <c r="A116" s="3" t="n">
        <v>3163008110920</v>
      </c>
      <c r="B116" s="3" t="s">
        <v>248</v>
      </c>
      <c r="D116" s="3" t="s">
        <v>41</v>
      </c>
      <c r="E116" s="3" t="s">
        <v>70</v>
      </c>
      <c r="F116" s="4"/>
      <c r="G116" s="5"/>
      <c r="H116" s="5" t="n">
        <v>12000</v>
      </c>
      <c r="I116" s="3" t="n">
        <v>1</v>
      </c>
      <c r="K116" s="6" t="n">
        <f aca="false">I116-J116</f>
        <v>1</v>
      </c>
      <c r="L116" s="5" t="n">
        <f aca="false">K116*H116</f>
        <v>12000</v>
      </c>
      <c r="M116" s="5" t="n">
        <f aca="false">IF(A116="","",H116*J116)</f>
        <v>0</v>
      </c>
      <c r="N116" s="5" t="n">
        <f aca="false">IF(A116="","",G116*J116)</f>
        <v>0</v>
      </c>
      <c r="O116" s="5" t="n">
        <f aca="false">IF(A116="","",M116-N116)</f>
        <v>0</v>
      </c>
      <c r="Q116" s="7" t="s">
        <v>249</v>
      </c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7" t="n">
        <f aca="false">SUMPRODUCT(--(R116:AA116&gt;0),'Настройки цен'!$B$12:$K$12)</f>
        <v>0</v>
      </c>
      <c r="AC116" s="9" t="str">
        <f aca="false">IF(AB116=0,"",SUMPRODUCT(R116:AA116,'Настройки цен'!$B$11:$K$11,'Настройки цен'!$B$12:$K$12)/AB116)</f>
        <v/>
      </c>
      <c r="AD116" s="10"/>
      <c r="AE116" s="11" t="n">
        <f aca="false">IF(AD116&lt;&gt;"",AD116,IFERROR(IF(INDEX('Настройки цен'!$B$17:$B$24,MATCH(E116,'Настройки цен'!$A$17:$A$24,0))="",'Настройки цен'!$B$5,INDEX('Настройки цен'!$B$17:$B$24,MATCH(E116,'Настройки цен'!$A$17:$A$24,0))),'Настройки цен'!$B$5))</f>
        <v>0</v>
      </c>
      <c r="AF116" s="9" t="str">
        <f aca="false">IF(AC116="","",ROUND(AC116*(1+AE116)/'Настройки цен'!$B$6,0)*'Настройки цен'!$B$6)</f>
        <v/>
      </c>
      <c r="AG116" s="12" t="str">
        <f aca="false">IF(OR(AC116="",H116=""),"",H116/AC116-1)</f>
        <v/>
      </c>
      <c r="AH116" s="7"/>
    </row>
    <row r="117" customFormat="false" ht="15.75" hidden="false" customHeight="true" outlineLevel="0" collapsed="false">
      <c r="B117" s="3" t="s">
        <v>250</v>
      </c>
      <c r="D117" s="3" t="s">
        <v>82</v>
      </c>
      <c r="E117" s="3" t="s">
        <v>70</v>
      </c>
      <c r="F117" s="4"/>
      <c r="G117" s="5"/>
      <c r="H117" s="5" t="n">
        <v>8000</v>
      </c>
      <c r="I117" s="3" t="n">
        <v>3</v>
      </c>
      <c r="K117" s="6" t="n">
        <f aca="false">I117-J117</f>
        <v>3</v>
      </c>
      <c r="L117" s="5" t="n">
        <f aca="false">K117*H117</f>
        <v>24000</v>
      </c>
      <c r="M117" s="5" t="str">
        <f aca="false">IF(A117="","",H117*J117)</f>
        <v/>
      </c>
      <c r="N117" s="5" t="str">
        <f aca="false">IF(A117="","",G117*J117)</f>
        <v/>
      </c>
      <c r="O117" s="5" t="str">
        <f aca="false">IF(A117="","",M117-N117)</f>
        <v/>
      </c>
      <c r="Q117" s="7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7" t="n">
        <f aca="false">SUMPRODUCT(--(R117:AA117&gt;0),'Настройки цен'!$B$12:$K$12)</f>
        <v>0</v>
      </c>
      <c r="AC117" s="9" t="str">
        <f aca="false">IF(AB117=0,"",SUMPRODUCT(R117:AA117,'Настройки цен'!$B$11:$K$11,'Настройки цен'!$B$12:$K$12)/AB117)</f>
        <v/>
      </c>
      <c r="AD117" s="10"/>
      <c r="AE117" s="11" t="n">
        <f aca="false">IF(AD117&lt;&gt;"",AD117,IFERROR(IF(INDEX('Настройки цен'!$B$17:$B$24,MATCH(E117,'Настройки цен'!$A$17:$A$24,0))="",'Настройки цен'!$B$5,INDEX('Настройки цен'!$B$17:$B$24,MATCH(E117,'Настройки цен'!$A$17:$A$24,0))),'Настройки цен'!$B$5))</f>
        <v>0</v>
      </c>
      <c r="AF117" s="9" t="str">
        <f aca="false">IF(AC117="","",ROUND(AC117*(1+AE117)/'Настройки цен'!$B$6,0)*'Настройки цен'!$B$6)</f>
        <v/>
      </c>
      <c r="AG117" s="12" t="str">
        <f aca="false">IF(OR(AC117="",H117=""),"",H117/AC117-1)</f>
        <v/>
      </c>
      <c r="AH117" s="7"/>
    </row>
    <row r="118" customFormat="false" ht="15.75" hidden="false" customHeight="true" outlineLevel="0" collapsed="false">
      <c r="B118" s="3" t="s">
        <v>251</v>
      </c>
      <c r="D118" s="3" t="s">
        <v>82</v>
      </c>
      <c r="E118" s="3" t="s">
        <v>70</v>
      </c>
      <c r="F118" s="4"/>
      <c r="G118" s="5"/>
      <c r="H118" s="5" t="n">
        <v>5000</v>
      </c>
      <c r="I118" s="3" t="n">
        <v>5</v>
      </c>
      <c r="K118" s="6" t="n">
        <f aca="false">I118-J118</f>
        <v>5</v>
      </c>
      <c r="L118" s="5" t="n">
        <f aca="false">K118*H118</f>
        <v>25000</v>
      </c>
      <c r="M118" s="5" t="str">
        <f aca="false">IF(A118="","",H118*J118)</f>
        <v/>
      </c>
      <c r="N118" s="5" t="str">
        <f aca="false">IF(A118="","",G118*J118)</f>
        <v/>
      </c>
      <c r="O118" s="5" t="str">
        <f aca="false">IF(A118="","",M118-N118)</f>
        <v/>
      </c>
      <c r="Q118" s="7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7" t="n">
        <f aca="false">SUMPRODUCT(--(R118:AA118&gt;0),'Настройки цен'!$B$12:$K$12)</f>
        <v>0</v>
      </c>
      <c r="AC118" s="9" t="str">
        <f aca="false">IF(AB118=0,"",SUMPRODUCT(R118:AA118,'Настройки цен'!$B$11:$K$11,'Настройки цен'!$B$12:$K$12)/AB118)</f>
        <v/>
      </c>
      <c r="AD118" s="10"/>
      <c r="AE118" s="11" t="n">
        <f aca="false">IF(AD118&lt;&gt;"",AD118,IFERROR(IF(INDEX('Настройки цен'!$B$17:$B$24,MATCH(E118,'Настройки цен'!$A$17:$A$24,0))="",'Настройки цен'!$B$5,INDEX('Настройки цен'!$B$17:$B$24,MATCH(E118,'Настройки цен'!$A$17:$A$24,0))),'Настройки цен'!$B$5))</f>
        <v>0</v>
      </c>
      <c r="AF118" s="9" t="str">
        <f aca="false">IF(AC118="","",ROUND(AC118*(1+AE118)/'Настройки цен'!$B$6,0)*'Настройки цен'!$B$6)</f>
        <v/>
      </c>
      <c r="AG118" s="12" t="str">
        <f aca="false">IF(OR(AC118="",H118=""),"",H118/AC118-1)</f>
        <v/>
      </c>
      <c r="AH118" s="7"/>
    </row>
    <row r="119" customFormat="false" ht="15.75" hidden="false" customHeight="true" outlineLevel="0" collapsed="false">
      <c r="B119" s="3" t="s">
        <v>252</v>
      </c>
      <c r="D119" s="3" t="s">
        <v>242</v>
      </c>
      <c r="E119" s="3" t="s">
        <v>70</v>
      </c>
      <c r="F119" s="4"/>
      <c r="G119" s="5"/>
      <c r="H119" s="5" t="n">
        <v>8000</v>
      </c>
      <c r="I119" s="3" t="n">
        <v>1</v>
      </c>
      <c r="K119" s="6" t="n">
        <f aca="false">I119-J119</f>
        <v>1</v>
      </c>
      <c r="L119" s="5" t="n">
        <f aca="false">K119*H119</f>
        <v>8000</v>
      </c>
      <c r="M119" s="5" t="str">
        <f aca="false">IF(A119="","",H119*J119)</f>
        <v/>
      </c>
      <c r="N119" s="5" t="str">
        <f aca="false">IF(A119="","",G119*J119)</f>
        <v/>
      </c>
      <c r="O119" s="5" t="str">
        <f aca="false">IF(A119="","",M119-N119)</f>
        <v/>
      </c>
      <c r="Q119" s="7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7" t="n">
        <f aca="false">SUMPRODUCT(--(R119:AA119&gt;0),'Настройки цен'!$B$12:$K$12)</f>
        <v>0</v>
      </c>
      <c r="AC119" s="9" t="str">
        <f aca="false">IF(AB119=0,"",SUMPRODUCT(R119:AA119,'Настройки цен'!$B$11:$K$11,'Настройки цен'!$B$12:$K$12)/AB119)</f>
        <v/>
      </c>
      <c r="AD119" s="10"/>
      <c r="AE119" s="11" t="n">
        <f aca="false">IF(AD119&lt;&gt;"",AD119,IFERROR(IF(INDEX('Настройки цен'!$B$17:$B$24,MATCH(E119,'Настройки цен'!$A$17:$A$24,0))="",'Настройки цен'!$B$5,INDEX('Настройки цен'!$B$17:$B$24,MATCH(E119,'Настройки цен'!$A$17:$A$24,0))),'Настройки цен'!$B$5))</f>
        <v>0</v>
      </c>
      <c r="AF119" s="9" t="str">
        <f aca="false">IF(AC119="","",ROUND(AC119*(1+AE119)/'Настройки цен'!$B$6,0)*'Настройки цен'!$B$6)</f>
        <v/>
      </c>
      <c r="AG119" s="12" t="str">
        <f aca="false">IF(OR(AC119="",H119=""),"",H119/AC119-1)</f>
        <v/>
      </c>
      <c r="AH119" s="7"/>
    </row>
    <row r="120" customFormat="false" ht="15.75" hidden="false" customHeight="true" outlineLevel="0" collapsed="false">
      <c r="A120" s="3" t="n">
        <v>66163501040</v>
      </c>
      <c r="B120" s="3" t="s">
        <v>253</v>
      </c>
      <c r="D120" s="3" t="s">
        <v>254</v>
      </c>
      <c r="E120" s="3" t="s">
        <v>37</v>
      </c>
      <c r="F120" s="4"/>
      <c r="G120" s="5"/>
      <c r="H120" s="5" t="n">
        <v>8000</v>
      </c>
      <c r="I120" s="3" t="n">
        <v>1</v>
      </c>
      <c r="K120" s="6" t="n">
        <f aca="false">I120-J120</f>
        <v>1</v>
      </c>
      <c r="L120" s="5" t="n">
        <f aca="false">K120*H120</f>
        <v>8000</v>
      </c>
      <c r="M120" s="5" t="n">
        <f aca="false">IF(A120="","",H120*J120)</f>
        <v>0</v>
      </c>
      <c r="N120" s="5" t="n">
        <f aca="false">IF(A120="","",G120*J120)</f>
        <v>0</v>
      </c>
      <c r="O120" s="5" t="n">
        <f aca="false">IF(A120="","",M120-N120)</f>
        <v>0</v>
      </c>
      <c r="Q120" s="7" t="s">
        <v>255</v>
      </c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7" t="n">
        <f aca="false">SUMPRODUCT(--(R120:AA120&gt;0),'Настройки цен'!$B$12:$K$12)</f>
        <v>0</v>
      </c>
      <c r="AC120" s="9" t="str">
        <f aca="false">IF(AB120=0,"",SUMPRODUCT(R120:AA120,'Настройки цен'!$B$11:$K$11,'Настройки цен'!$B$12:$K$12)/AB120)</f>
        <v/>
      </c>
      <c r="AD120" s="10"/>
      <c r="AE120" s="11" t="n">
        <f aca="false">IF(AD120&lt;&gt;"",AD120,IFERROR(IF(INDEX('Настройки цен'!$B$17:$B$24,MATCH(E120,'Настройки цен'!$A$17:$A$24,0))="",'Настройки цен'!$B$5,INDEX('Настройки цен'!$B$17:$B$24,MATCH(E120,'Настройки цен'!$A$17:$A$24,0))),'Настройки цен'!$B$5))</f>
        <v>0</v>
      </c>
      <c r="AF120" s="9" t="str">
        <f aca="false">IF(AC120="","",ROUND(AC120*(1+AE120)/'Настройки цен'!$B$6,0)*'Настройки цен'!$B$6)</f>
        <v/>
      </c>
      <c r="AG120" s="12" t="str">
        <f aca="false">IF(OR(AC120="",H120=""),"",H120/AC120-1)</f>
        <v/>
      </c>
      <c r="AH120" s="7"/>
    </row>
    <row r="121" customFormat="false" ht="15.75" hidden="false" customHeight="true" outlineLevel="0" collapsed="false">
      <c r="B121" s="3" t="s">
        <v>256</v>
      </c>
      <c r="D121" s="3" t="s">
        <v>242</v>
      </c>
      <c r="E121" s="3" t="s">
        <v>55</v>
      </c>
      <c r="F121" s="4"/>
      <c r="G121" s="5"/>
      <c r="H121" s="5" t="n">
        <v>15000</v>
      </c>
      <c r="I121" s="3" t="n">
        <v>3</v>
      </c>
      <c r="K121" s="6" t="n">
        <f aca="false">I121-J121</f>
        <v>3</v>
      </c>
      <c r="L121" s="5" t="n">
        <f aca="false">K121*H121</f>
        <v>45000</v>
      </c>
      <c r="M121" s="5" t="str">
        <f aca="false">IF(A121="","",H121*J121)</f>
        <v/>
      </c>
      <c r="N121" s="5" t="str">
        <f aca="false">IF(A121="","",G121*J121)</f>
        <v/>
      </c>
      <c r="O121" s="5" t="str">
        <f aca="false">IF(A121="","",M121-N121)</f>
        <v/>
      </c>
      <c r="Q121" s="7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7" t="n">
        <f aca="false">SUMPRODUCT(--(R121:AA121&gt;0),'Настройки цен'!$B$12:$K$12)</f>
        <v>0</v>
      </c>
      <c r="AC121" s="9" t="str">
        <f aca="false">IF(AB121=0,"",SUMPRODUCT(R121:AA121,'Настройки цен'!$B$11:$K$11,'Настройки цен'!$B$12:$K$12)/AB121)</f>
        <v/>
      </c>
      <c r="AD121" s="10"/>
      <c r="AE121" s="11" t="n">
        <f aca="false">IF(AD121&lt;&gt;"",AD121,IFERROR(IF(INDEX('Настройки цен'!$B$17:$B$24,MATCH(E121,'Настройки цен'!$A$17:$A$24,0))="",'Настройки цен'!$B$5,INDEX('Настройки цен'!$B$17:$B$24,MATCH(E121,'Настройки цен'!$A$17:$A$24,0))),'Настройки цен'!$B$5))</f>
        <v>0</v>
      </c>
      <c r="AF121" s="9" t="str">
        <f aca="false">IF(AC121="","",ROUND(AC121*(1+AE121)/'Настройки цен'!$B$6,0)*'Настройки цен'!$B$6)</f>
        <v/>
      </c>
      <c r="AG121" s="12" t="str">
        <f aca="false">IF(OR(AC121="",H121=""),"",H121/AC121-1)</f>
        <v/>
      </c>
      <c r="AH121" s="7"/>
    </row>
    <row r="122" customFormat="false" ht="15.75" hidden="false" customHeight="true" outlineLevel="0" collapsed="false">
      <c r="A122" s="3" t="n">
        <v>521701113</v>
      </c>
      <c r="B122" s="3" t="s">
        <v>257</v>
      </c>
      <c r="D122" s="3" t="s">
        <v>242</v>
      </c>
      <c r="E122" s="3" t="s">
        <v>55</v>
      </c>
      <c r="F122" s="4"/>
      <c r="G122" s="5"/>
      <c r="H122" s="5" t="n">
        <v>15000</v>
      </c>
      <c r="I122" s="3" t="n">
        <v>4</v>
      </c>
      <c r="K122" s="6" t="n">
        <f aca="false">I122-J122</f>
        <v>4</v>
      </c>
      <c r="L122" s="5" t="n">
        <f aca="false">K122*H122</f>
        <v>60000</v>
      </c>
      <c r="M122" s="5" t="n">
        <f aca="false">IF(A122="","",H122*J122)</f>
        <v>0</v>
      </c>
      <c r="N122" s="5" t="n">
        <f aca="false">IF(A122="","",G122*J122)</f>
        <v>0</v>
      </c>
      <c r="O122" s="5" t="n">
        <f aca="false">IF(A122="","",M122-N122)</f>
        <v>0</v>
      </c>
      <c r="Q122" s="7" t="s">
        <v>258</v>
      </c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7" t="n">
        <f aca="false">SUMPRODUCT(--(R122:AA122&gt;0),'Настройки цен'!$B$12:$K$12)</f>
        <v>0</v>
      </c>
      <c r="AC122" s="9" t="str">
        <f aca="false">IF(AB122=0,"",SUMPRODUCT(R122:AA122,'Настройки цен'!$B$11:$K$11,'Настройки цен'!$B$12:$K$12)/AB122)</f>
        <v/>
      </c>
      <c r="AD122" s="10"/>
      <c r="AE122" s="11" t="n">
        <f aca="false">IF(AD122&lt;&gt;"",AD122,IFERROR(IF(INDEX('Настройки цен'!$B$17:$B$24,MATCH(E122,'Настройки цен'!$A$17:$A$24,0))="",'Настройки цен'!$B$5,INDEX('Настройки цен'!$B$17:$B$24,MATCH(E122,'Настройки цен'!$A$17:$A$24,0))),'Настройки цен'!$B$5))</f>
        <v>0</v>
      </c>
      <c r="AF122" s="9" t="str">
        <f aca="false">IF(AC122="","",ROUND(AC122*(1+AE122)/'Настройки цен'!$B$6,0)*'Настройки цен'!$B$6)</f>
        <v/>
      </c>
      <c r="AG122" s="12" t="str">
        <f aca="false">IF(OR(AC122="",H122=""),"",H122/AC122-1)</f>
        <v/>
      </c>
      <c r="AH122" s="7"/>
    </row>
    <row r="123" customFormat="false" ht="15.75" hidden="false" customHeight="true" outlineLevel="0" collapsed="false">
      <c r="A123" s="3" t="n">
        <v>469001104010</v>
      </c>
      <c r="B123" s="3" t="s">
        <v>259</v>
      </c>
      <c r="D123" s="3" t="s">
        <v>41</v>
      </c>
      <c r="E123" s="3" t="s">
        <v>140</v>
      </c>
      <c r="F123" s="4"/>
      <c r="G123" s="5"/>
      <c r="H123" s="5" t="n">
        <v>8000</v>
      </c>
      <c r="I123" s="3" t="n">
        <v>7</v>
      </c>
      <c r="K123" s="6" t="n">
        <f aca="false">I123-J123</f>
        <v>7</v>
      </c>
      <c r="L123" s="5" t="n">
        <f aca="false">K123*H123</f>
        <v>56000</v>
      </c>
      <c r="M123" s="5" t="n">
        <f aca="false">IF(A123="","",H123*J123)</f>
        <v>0</v>
      </c>
      <c r="N123" s="5" t="n">
        <f aca="false">IF(A123="","",G123*J123)</f>
        <v>0</v>
      </c>
      <c r="O123" s="5" t="n">
        <f aca="false">IF(A123="","",M123-N123)</f>
        <v>0</v>
      </c>
      <c r="Q123" s="7" t="s">
        <v>260</v>
      </c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7" t="n">
        <f aca="false">SUMPRODUCT(--(R123:AA123&gt;0),'Настройки цен'!$B$12:$K$12)</f>
        <v>0</v>
      </c>
      <c r="AC123" s="9" t="str">
        <f aca="false">IF(AB123=0,"",SUMPRODUCT(R123:AA123,'Настройки цен'!$B$11:$K$11,'Настройки цен'!$B$12:$K$12)/AB123)</f>
        <v/>
      </c>
      <c r="AD123" s="10"/>
      <c r="AE123" s="11" t="n">
        <f aca="false">IF(AD123&lt;&gt;"",AD123,IFERROR(IF(INDEX('Настройки цен'!$B$17:$B$24,MATCH(E123,'Настройки цен'!$A$17:$A$24,0))="",'Настройки цен'!$B$5,INDEX('Настройки цен'!$B$17:$B$24,MATCH(E123,'Настройки цен'!$A$17:$A$24,0))),'Настройки цен'!$B$5))</f>
        <v>0</v>
      </c>
      <c r="AF123" s="9" t="str">
        <f aca="false">IF(AC123="","",ROUND(AC123*(1+AE123)/'Настройки цен'!$B$6,0)*'Настройки цен'!$B$6)</f>
        <v/>
      </c>
      <c r="AG123" s="12" t="str">
        <f aca="false">IF(OR(AC123="",H123=""),"",H123/AC123-1)</f>
        <v/>
      </c>
      <c r="AH123" s="7"/>
    </row>
    <row r="124" customFormat="false" ht="15.75" hidden="false" customHeight="true" outlineLevel="0" collapsed="false">
      <c r="A124" s="3" t="n">
        <v>6713709</v>
      </c>
      <c r="B124" s="3" t="s">
        <v>261</v>
      </c>
      <c r="D124" s="3" t="s">
        <v>41</v>
      </c>
      <c r="E124" s="3" t="s">
        <v>137</v>
      </c>
      <c r="F124" s="4"/>
      <c r="G124" s="5"/>
      <c r="H124" s="5" t="n">
        <v>6000</v>
      </c>
      <c r="I124" s="3" t="n">
        <v>1</v>
      </c>
      <c r="K124" s="6" t="n">
        <f aca="false">I124-J124</f>
        <v>1</v>
      </c>
      <c r="L124" s="5" t="n">
        <f aca="false">K124*H124</f>
        <v>6000</v>
      </c>
      <c r="M124" s="5" t="n">
        <f aca="false">IF(A124="","",H124*J124)</f>
        <v>0</v>
      </c>
      <c r="N124" s="5" t="n">
        <f aca="false">IF(A124="","",G124*J124)</f>
        <v>0</v>
      </c>
      <c r="O124" s="5" t="n">
        <f aca="false">IF(A124="","",M124-N124)</f>
        <v>0</v>
      </c>
      <c r="Q124" s="7" t="s">
        <v>262</v>
      </c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7" t="n">
        <f aca="false">SUMPRODUCT(--(R124:AA124&gt;0),'Настройки цен'!$B$12:$K$12)</f>
        <v>0</v>
      </c>
      <c r="AC124" s="9" t="str">
        <f aca="false">IF(AB124=0,"",SUMPRODUCT(R124:AA124,'Настройки цен'!$B$11:$K$11,'Настройки цен'!$B$12:$K$12)/AB124)</f>
        <v/>
      </c>
      <c r="AD124" s="10"/>
      <c r="AE124" s="11" t="n">
        <f aca="false">IF(AD124&lt;&gt;"",AD124,IFERROR(IF(INDEX('Настройки цен'!$B$17:$B$24,MATCH(E124,'Настройки цен'!$A$17:$A$24,0))="",'Настройки цен'!$B$5,INDEX('Настройки цен'!$B$17:$B$24,MATCH(E124,'Настройки цен'!$A$17:$A$24,0))),'Настройки цен'!$B$5))</f>
        <v>0</v>
      </c>
      <c r="AF124" s="9" t="str">
        <f aca="false">IF(AC124="","",ROUND(AC124*(1+AE124)/'Настройки цен'!$B$6,0)*'Настройки цен'!$B$6)</f>
        <v/>
      </c>
      <c r="AG124" s="12" t="str">
        <f aca="false">IF(OR(AC124="",H124=""),"",H124/AC124-1)</f>
        <v/>
      </c>
      <c r="AH124" s="7"/>
    </row>
    <row r="125" customFormat="false" ht="15.75" hidden="false" customHeight="true" outlineLevel="0" collapsed="false">
      <c r="A125" s="3" t="n">
        <v>211307010</v>
      </c>
      <c r="B125" s="3" t="s">
        <v>263</v>
      </c>
      <c r="D125" s="3" t="s">
        <v>82</v>
      </c>
      <c r="E125" s="3" t="s">
        <v>70</v>
      </c>
      <c r="F125" s="4"/>
      <c r="G125" s="5"/>
      <c r="H125" s="5" t="n">
        <v>15000</v>
      </c>
      <c r="I125" s="3" t="n">
        <v>1</v>
      </c>
      <c r="K125" s="6" t="n">
        <f aca="false">I125-J125</f>
        <v>1</v>
      </c>
      <c r="L125" s="5" t="n">
        <f aca="false">K125*H125</f>
        <v>15000</v>
      </c>
      <c r="M125" s="5" t="n">
        <f aca="false">IF(A125="","",H125*J125)</f>
        <v>0</v>
      </c>
      <c r="N125" s="5" t="n">
        <f aca="false">IF(A125="","",G125*J125)</f>
        <v>0</v>
      </c>
      <c r="O125" s="5" t="n">
        <f aca="false">IF(A125="","",M125-N125)</f>
        <v>0</v>
      </c>
      <c r="Q125" s="7" t="s">
        <v>264</v>
      </c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7" t="n">
        <f aca="false">SUMPRODUCT(--(R125:AA125&gt;0),'Настройки цен'!$B$12:$K$12)</f>
        <v>0</v>
      </c>
      <c r="AC125" s="9" t="str">
        <f aca="false">IF(AB125=0,"",SUMPRODUCT(R125:AA125,'Настройки цен'!$B$11:$K$11,'Настройки цен'!$B$12:$K$12)/AB125)</f>
        <v/>
      </c>
      <c r="AD125" s="10"/>
      <c r="AE125" s="11" t="n">
        <f aca="false">IF(AD125&lt;&gt;"",AD125,IFERROR(IF(INDEX('Настройки цен'!$B$17:$B$24,MATCH(E125,'Настройки цен'!$A$17:$A$24,0))="",'Настройки цен'!$B$5,INDEX('Настройки цен'!$B$17:$B$24,MATCH(E125,'Настройки цен'!$A$17:$A$24,0))),'Настройки цен'!$B$5))</f>
        <v>0</v>
      </c>
      <c r="AF125" s="9" t="str">
        <f aca="false">IF(AC125="","",ROUND(AC125*(1+AE125)/'Настройки цен'!$B$6,0)*'Настройки цен'!$B$6)</f>
        <v/>
      </c>
      <c r="AG125" s="12" t="str">
        <f aca="false">IF(OR(AC125="",H125=""),"",H125/AC125-1)</f>
        <v/>
      </c>
      <c r="AH125" s="7"/>
    </row>
    <row r="126" customFormat="false" ht="15.75" hidden="false" customHeight="true" outlineLevel="0" collapsed="false">
      <c r="A126" s="3" t="n">
        <v>521701111</v>
      </c>
      <c r="B126" s="3" t="s">
        <v>265</v>
      </c>
      <c r="D126" s="3" t="s">
        <v>242</v>
      </c>
      <c r="E126" s="3" t="s">
        <v>55</v>
      </c>
      <c r="F126" s="4"/>
      <c r="G126" s="5"/>
      <c r="H126" s="5" t="n">
        <v>25000</v>
      </c>
      <c r="I126" s="3" t="n">
        <v>3</v>
      </c>
      <c r="K126" s="6" t="n">
        <f aca="false">I126-J126</f>
        <v>3</v>
      </c>
      <c r="L126" s="5" t="n">
        <f aca="false">K126*H126</f>
        <v>75000</v>
      </c>
      <c r="M126" s="5" t="n">
        <f aca="false">IF(A126="","",H126*J126)</f>
        <v>0</v>
      </c>
      <c r="N126" s="5" t="n">
        <f aca="false">IF(A126="","",G126*J126)</f>
        <v>0</v>
      </c>
      <c r="O126" s="5" t="n">
        <f aca="false">IF(A126="","",M126-N126)</f>
        <v>0</v>
      </c>
      <c r="Q126" s="7" t="s">
        <v>188</v>
      </c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7" t="n">
        <f aca="false">SUMPRODUCT(--(R126:AA126&gt;0),'Настройки цен'!$B$12:$K$12)</f>
        <v>0</v>
      </c>
      <c r="AC126" s="9" t="str">
        <f aca="false">IF(AB126=0,"",SUMPRODUCT(R126:AA126,'Настройки цен'!$B$11:$K$11,'Настройки цен'!$B$12:$K$12)/AB126)</f>
        <v/>
      </c>
      <c r="AD126" s="10"/>
      <c r="AE126" s="11" t="n">
        <f aca="false">IF(AD126&lt;&gt;"",AD126,IFERROR(IF(INDEX('Настройки цен'!$B$17:$B$24,MATCH(E126,'Настройки цен'!$A$17:$A$24,0))="",'Настройки цен'!$B$5,INDEX('Настройки цен'!$B$17:$B$24,MATCH(E126,'Настройки цен'!$A$17:$A$24,0))),'Настройки цен'!$B$5))</f>
        <v>0</v>
      </c>
      <c r="AF126" s="9" t="str">
        <f aca="false">IF(AC126="","",ROUND(AC126*(1+AE126)/'Настройки цен'!$B$6,0)*'Настройки цен'!$B$6)</f>
        <v/>
      </c>
      <c r="AG126" s="12" t="str">
        <f aca="false">IF(OR(AC126="",H126=""),"",H126/AC126-1)</f>
        <v/>
      </c>
      <c r="AH126" s="7"/>
    </row>
    <row r="127" customFormat="false" ht="15.75" hidden="false" customHeight="true" outlineLevel="0" collapsed="false">
      <c r="A127" s="3" t="n">
        <v>521701110</v>
      </c>
      <c r="B127" s="3" t="s">
        <v>189</v>
      </c>
      <c r="D127" s="3" t="s">
        <v>242</v>
      </c>
      <c r="E127" s="3" t="s">
        <v>55</v>
      </c>
      <c r="F127" s="4"/>
      <c r="G127" s="5"/>
      <c r="H127" s="5" t="n">
        <v>25000</v>
      </c>
      <c r="I127" s="3" t="n">
        <v>1</v>
      </c>
      <c r="K127" s="6" t="n">
        <f aca="false">I127-J127</f>
        <v>1</v>
      </c>
      <c r="L127" s="5" t="n">
        <f aca="false">K127*H127</f>
        <v>25000</v>
      </c>
      <c r="M127" s="5" t="n">
        <f aca="false">IF(A127="","",H127*J127)</f>
        <v>0</v>
      </c>
      <c r="N127" s="5" t="n">
        <f aca="false">IF(A127="","",G127*J127)</f>
        <v>0</v>
      </c>
      <c r="O127" s="5" t="n">
        <f aca="false">IF(A127="","",M127-N127)</f>
        <v>0</v>
      </c>
      <c r="Q127" s="7" t="s">
        <v>266</v>
      </c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7" t="n">
        <f aca="false">SUMPRODUCT(--(R127:AA127&gt;0),'Настройки цен'!$B$12:$K$12)</f>
        <v>0</v>
      </c>
      <c r="AC127" s="9" t="str">
        <f aca="false">IF(AB127=0,"",SUMPRODUCT(R127:AA127,'Настройки цен'!$B$11:$K$11,'Настройки цен'!$B$12:$K$12)/AB127)</f>
        <v/>
      </c>
      <c r="AD127" s="10"/>
      <c r="AE127" s="11" t="n">
        <f aca="false">IF(AD127&lt;&gt;"",AD127,IFERROR(IF(INDEX('Настройки цен'!$B$17:$B$24,MATCH(E127,'Настройки цен'!$A$17:$A$24,0))="",'Настройки цен'!$B$5,INDEX('Настройки цен'!$B$17:$B$24,MATCH(E127,'Настройки цен'!$A$17:$A$24,0))),'Настройки цен'!$B$5))</f>
        <v>0</v>
      </c>
      <c r="AF127" s="9" t="str">
        <f aca="false">IF(AC127="","",ROUND(AC127*(1+AE127)/'Настройки цен'!$B$6,0)*'Настройки цен'!$B$6)</f>
        <v/>
      </c>
      <c r="AG127" s="12" t="str">
        <f aca="false">IF(OR(AC127="",H127=""),"",H127/AC127-1)</f>
        <v/>
      </c>
      <c r="AH127" s="7"/>
    </row>
    <row r="128" customFormat="false" ht="15.75" hidden="false" customHeight="true" outlineLevel="0" collapsed="false">
      <c r="B128" s="3" t="s">
        <v>267</v>
      </c>
      <c r="D128" s="3" t="s">
        <v>41</v>
      </c>
      <c r="E128" s="3" t="s">
        <v>55</v>
      </c>
      <c r="F128" s="4"/>
      <c r="G128" s="5"/>
      <c r="H128" s="5" t="n">
        <v>50000</v>
      </c>
      <c r="I128" s="3" t="n">
        <v>6</v>
      </c>
      <c r="K128" s="6" t="n">
        <f aca="false">I128-J128</f>
        <v>6</v>
      </c>
      <c r="L128" s="5" t="n">
        <f aca="false">K128*H128</f>
        <v>300000</v>
      </c>
      <c r="M128" s="5" t="str">
        <f aca="false">IF(A128="","",H128*J128)</f>
        <v/>
      </c>
      <c r="N128" s="5" t="str">
        <f aca="false">IF(A128="","",G128*J128)</f>
        <v/>
      </c>
      <c r="O128" s="5" t="str">
        <f aca="false">IF(A128="","",M128-N128)</f>
        <v/>
      </c>
      <c r="Q128" s="7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7" t="n">
        <f aca="false">SUMPRODUCT(--(R128:AA128&gt;0),'Настройки цен'!$B$12:$K$12)</f>
        <v>0</v>
      </c>
      <c r="AC128" s="9" t="str">
        <f aca="false">IF(AB128=0,"",SUMPRODUCT(R128:AA128,'Настройки цен'!$B$11:$K$11,'Настройки цен'!$B$12:$K$12)/AB128)</f>
        <v/>
      </c>
      <c r="AD128" s="10"/>
      <c r="AE128" s="11" t="n">
        <f aca="false">IF(AD128&lt;&gt;"",AD128,IFERROR(IF(INDEX('Настройки цен'!$B$17:$B$24,MATCH(E128,'Настройки цен'!$A$17:$A$24,0))="",'Настройки цен'!$B$5,INDEX('Настройки цен'!$B$17:$B$24,MATCH(E128,'Настройки цен'!$A$17:$A$24,0))),'Настройки цен'!$B$5))</f>
        <v>0</v>
      </c>
      <c r="AF128" s="9" t="str">
        <f aca="false">IF(AC128="","",ROUND(AC128*(1+AE128)/'Настройки цен'!$B$6,0)*'Настройки цен'!$B$6)</f>
        <v/>
      </c>
      <c r="AG128" s="12" t="str">
        <f aca="false">IF(OR(AC128="",H128=""),"",H128/AC128-1)</f>
        <v/>
      </c>
      <c r="AH128" s="7"/>
    </row>
    <row r="129" customFormat="false" ht="15.75" hidden="false" customHeight="true" outlineLevel="0" collapsed="false">
      <c r="B129" s="3" t="s">
        <v>268</v>
      </c>
      <c r="D129" s="3" t="s">
        <v>41</v>
      </c>
      <c r="E129" s="3" t="s">
        <v>55</v>
      </c>
      <c r="F129" s="4"/>
      <c r="G129" s="5"/>
      <c r="H129" s="5" t="n">
        <v>50000</v>
      </c>
      <c r="I129" s="3" t="n">
        <v>3</v>
      </c>
      <c r="K129" s="6" t="n">
        <f aca="false">I129-J129</f>
        <v>3</v>
      </c>
      <c r="L129" s="5" t="n">
        <f aca="false">K129*H129</f>
        <v>150000</v>
      </c>
      <c r="M129" s="5" t="str">
        <f aca="false">IF(A129="","",H129*J129)</f>
        <v/>
      </c>
      <c r="N129" s="5" t="str">
        <f aca="false">IF(A129="","",G129*J129)</f>
        <v/>
      </c>
      <c r="O129" s="5" t="str">
        <f aca="false">IF(A129="","",M129-N129)</f>
        <v/>
      </c>
      <c r="Q129" s="7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7" t="n">
        <f aca="false">SUMPRODUCT(--(R129:AA129&gt;0),'Настройки цен'!$B$12:$K$12)</f>
        <v>0</v>
      </c>
      <c r="AC129" s="9" t="str">
        <f aca="false">IF(AB129=0,"",SUMPRODUCT(R129:AA129,'Настройки цен'!$B$11:$K$11,'Настройки цен'!$B$12:$K$12)/AB129)</f>
        <v/>
      </c>
      <c r="AD129" s="10"/>
      <c r="AE129" s="11" t="n">
        <f aca="false">IF(AD129&lt;&gt;"",AD129,IFERROR(IF(INDEX('Настройки цен'!$B$17:$B$24,MATCH(E129,'Настройки цен'!$A$17:$A$24,0))="",'Настройки цен'!$B$5,INDEX('Настройки цен'!$B$17:$B$24,MATCH(E129,'Настройки цен'!$A$17:$A$24,0))),'Настройки цен'!$B$5))</f>
        <v>0</v>
      </c>
      <c r="AF129" s="9" t="str">
        <f aca="false">IF(AC129="","",ROUND(AC129*(1+AE129)/'Настройки цен'!$B$6,0)*'Настройки цен'!$B$6)</f>
        <v/>
      </c>
      <c r="AG129" s="12" t="str">
        <f aca="false">IF(OR(AC129="",H129=""),"",H129/AC129-1)</f>
        <v/>
      </c>
      <c r="AH129" s="7"/>
    </row>
    <row r="130" customFormat="false" ht="15.75" hidden="false" customHeight="true" outlineLevel="0" collapsed="false">
      <c r="A130" s="3" t="n">
        <v>53121701306</v>
      </c>
      <c r="B130" s="3" t="s">
        <v>172</v>
      </c>
      <c r="D130" s="3" t="s">
        <v>242</v>
      </c>
      <c r="E130" s="3" t="s">
        <v>55</v>
      </c>
      <c r="F130" s="4"/>
      <c r="G130" s="5"/>
      <c r="H130" s="5" t="n">
        <v>90000</v>
      </c>
      <c r="I130" s="3" t="n">
        <v>3</v>
      </c>
      <c r="K130" s="6" t="n">
        <f aca="false">I130-J130</f>
        <v>3</v>
      </c>
      <c r="L130" s="5" t="n">
        <f aca="false">K130*H130</f>
        <v>270000</v>
      </c>
      <c r="M130" s="5" t="n">
        <f aca="false">IF(A130="","",H130*J130)</f>
        <v>0</v>
      </c>
      <c r="N130" s="5" t="n">
        <f aca="false">IF(A130="","",G130*J130)</f>
        <v>0</v>
      </c>
      <c r="O130" s="5" t="n">
        <f aca="false">IF(A130="","",M130-N130)</f>
        <v>0</v>
      </c>
      <c r="Q130" s="7" t="s">
        <v>269</v>
      </c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7" t="n">
        <f aca="false">SUMPRODUCT(--(R130:AA130&gt;0),'Настройки цен'!$B$12:$K$12)</f>
        <v>0</v>
      </c>
      <c r="AC130" s="9" t="str">
        <f aca="false">IF(AB130=0,"",SUMPRODUCT(R130:AA130,'Настройки цен'!$B$11:$K$11,'Настройки цен'!$B$12:$K$12)/AB130)</f>
        <v/>
      </c>
      <c r="AD130" s="10"/>
      <c r="AE130" s="11" t="n">
        <f aca="false">IF(AD130&lt;&gt;"",AD130,IFERROR(IF(INDEX('Настройки цен'!$B$17:$B$24,MATCH(E130,'Настройки цен'!$A$17:$A$24,0))="",'Настройки цен'!$B$5,INDEX('Настройки цен'!$B$17:$B$24,MATCH(E130,'Настройки цен'!$A$17:$A$24,0))),'Настройки цен'!$B$5))</f>
        <v>0</v>
      </c>
      <c r="AF130" s="9" t="str">
        <f aca="false">IF(AC130="","",ROUND(AC130*(1+AE130)/'Настройки цен'!$B$6,0)*'Настройки цен'!$B$6)</f>
        <v/>
      </c>
      <c r="AG130" s="12" t="str">
        <f aca="false">IF(OR(AC130="",H130=""),"",H130/AC130-1)</f>
        <v/>
      </c>
      <c r="AH130" s="7"/>
    </row>
    <row r="131" customFormat="false" ht="15.75" hidden="false" customHeight="true" outlineLevel="0" collapsed="false">
      <c r="A131" s="3" t="n">
        <v>453471125</v>
      </c>
      <c r="B131" s="3" t="s">
        <v>270</v>
      </c>
      <c r="D131" s="3" t="s">
        <v>82</v>
      </c>
      <c r="E131" s="3" t="s">
        <v>70</v>
      </c>
      <c r="F131" s="4"/>
      <c r="G131" s="5"/>
      <c r="H131" s="5" t="n">
        <v>100000</v>
      </c>
      <c r="I131" s="3" t="n">
        <v>1</v>
      </c>
      <c r="K131" s="6" t="n">
        <f aca="false">I131-J131</f>
        <v>1</v>
      </c>
      <c r="L131" s="5" t="n">
        <f aca="false">K131*H131</f>
        <v>100000</v>
      </c>
      <c r="M131" s="5" t="n">
        <f aca="false">IF(A131="","",H131*J131)</f>
        <v>0</v>
      </c>
      <c r="N131" s="5" t="n">
        <f aca="false">IF(A131="","",G131*J131)</f>
        <v>0</v>
      </c>
      <c r="O131" s="5" t="n">
        <f aca="false">IF(A131="","",M131-N131)</f>
        <v>0</v>
      </c>
      <c r="Q131" s="7" t="s">
        <v>271</v>
      </c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7" t="n">
        <f aca="false">SUMPRODUCT(--(R131:AA131&gt;0),'Настройки цен'!$B$12:$K$12)</f>
        <v>0</v>
      </c>
      <c r="AC131" s="9" t="str">
        <f aca="false">IF(AB131=0,"",SUMPRODUCT(R131:AA131,'Настройки цен'!$B$11:$K$11,'Настройки цен'!$B$12:$K$12)/AB131)</f>
        <v/>
      </c>
      <c r="AD131" s="10"/>
      <c r="AE131" s="11" t="n">
        <f aca="false">IF(AD131&lt;&gt;"",AD131,IFERROR(IF(INDEX('Настройки цен'!$B$17:$B$24,MATCH(E131,'Настройки цен'!$A$17:$A$24,0))="",'Настройки цен'!$B$5,INDEX('Настройки цен'!$B$17:$B$24,MATCH(E131,'Настройки цен'!$A$17:$A$24,0))),'Настройки цен'!$B$5))</f>
        <v>0</v>
      </c>
      <c r="AF131" s="9" t="str">
        <f aca="false">IF(AC131="","",ROUND(AC131*(1+AE131)/'Настройки цен'!$B$6,0)*'Настройки цен'!$B$6)</f>
        <v/>
      </c>
      <c r="AG131" s="12" t="str">
        <f aca="false">IF(OR(AC131="",H131=""),"",H131/AC131-1)</f>
        <v/>
      </c>
      <c r="AH131" s="7"/>
    </row>
    <row r="132" customFormat="false" ht="15.75" hidden="false" customHeight="true" outlineLevel="0" collapsed="false">
      <c r="A132" s="3" t="n">
        <v>31513510178</v>
      </c>
      <c r="B132" s="3" t="s">
        <v>272</v>
      </c>
      <c r="D132" s="3" t="s">
        <v>273</v>
      </c>
      <c r="E132" s="3" t="s">
        <v>37</v>
      </c>
      <c r="F132" s="4"/>
      <c r="G132" s="5"/>
      <c r="H132" s="5" t="n">
        <v>2000</v>
      </c>
      <c r="I132" s="3" t="n">
        <v>6</v>
      </c>
      <c r="K132" s="6" t="n">
        <f aca="false">I132-J132</f>
        <v>6</v>
      </c>
      <c r="L132" s="5" t="n">
        <f aca="false">K132*H132</f>
        <v>12000</v>
      </c>
      <c r="M132" s="5" t="n">
        <f aca="false">IF(A132="","",H132*J132)</f>
        <v>0</v>
      </c>
      <c r="N132" s="5" t="n">
        <f aca="false">IF(A132="","",G132*J132)</f>
        <v>0</v>
      </c>
      <c r="O132" s="5" t="n">
        <f aca="false">IF(A132="","",M132-N132)</f>
        <v>0</v>
      </c>
      <c r="Q132" s="7" t="s">
        <v>274</v>
      </c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7" t="n">
        <f aca="false">SUMPRODUCT(--(R132:AA132&gt;0),'Настройки цен'!$B$12:$K$12)</f>
        <v>0</v>
      </c>
      <c r="AC132" s="9" t="str">
        <f aca="false">IF(AB132=0,"",SUMPRODUCT(R132:AA132,'Настройки цен'!$B$11:$K$11,'Настройки цен'!$B$12:$K$12)/AB132)</f>
        <v/>
      </c>
      <c r="AD132" s="10"/>
      <c r="AE132" s="11" t="n">
        <f aca="false">IF(AD132&lt;&gt;"",AD132,IFERROR(IF(INDEX('Настройки цен'!$B$17:$B$24,MATCH(E132,'Настройки цен'!$A$17:$A$24,0))="",'Настройки цен'!$B$5,INDEX('Настройки цен'!$B$17:$B$24,MATCH(E132,'Настройки цен'!$A$17:$A$24,0))),'Настройки цен'!$B$5))</f>
        <v>0</v>
      </c>
      <c r="AF132" s="9" t="str">
        <f aca="false">IF(AC132="","",ROUND(AC132*(1+AE132)/'Настройки цен'!$B$6,0)*'Настройки цен'!$B$6)</f>
        <v/>
      </c>
      <c r="AG132" s="12" t="str">
        <f aca="false">IF(OR(AC132="",H132=""),"",H132/AC132-1)</f>
        <v/>
      </c>
      <c r="AH132" s="7"/>
    </row>
    <row r="133" customFormat="false" ht="15.75" hidden="false" customHeight="true" outlineLevel="0" collapsed="false">
      <c r="A133" s="3" t="n">
        <v>33021702024</v>
      </c>
      <c r="B133" s="3" t="s">
        <v>275</v>
      </c>
      <c r="D133" s="3" t="s">
        <v>222</v>
      </c>
      <c r="E133" s="3" t="s">
        <v>55</v>
      </c>
      <c r="F133" s="4"/>
      <c r="G133" s="5"/>
      <c r="H133" s="5" t="n">
        <v>8000</v>
      </c>
      <c r="I133" s="3" t="n">
        <v>3</v>
      </c>
      <c r="K133" s="6" t="n">
        <f aca="false">I133-J133</f>
        <v>3</v>
      </c>
      <c r="L133" s="5" t="n">
        <f aca="false">K133*H133</f>
        <v>24000</v>
      </c>
      <c r="M133" s="5" t="n">
        <f aca="false">IF(A133="","",H133*J133)</f>
        <v>0</v>
      </c>
      <c r="N133" s="5" t="n">
        <f aca="false">IF(A133="","",G133*J133)</f>
        <v>0</v>
      </c>
      <c r="O133" s="5" t="n">
        <f aca="false">IF(A133="","",M133-N133)</f>
        <v>0</v>
      </c>
      <c r="Q133" s="7" t="s">
        <v>276</v>
      </c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7" t="n">
        <f aca="false">SUMPRODUCT(--(R133:AA133&gt;0),'Настройки цен'!$B$12:$K$12)</f>
        <v>0</v>
      </c>
      <c r="AC133" s="9" t="str">
        <f aca="false">IF(AB133=0,"",SUMPRODUCT(R133:AA133,'Настройки цен'!$B$11:$K$11,'Настройки цен'!$B$12:$K$12)/AB133)</f>
        <v/>
      </c>
      <c r="AD133" s="10"/>
      <c r="AE133" s="11" t="n">
        <f aca="false">IF(AD133&lt;&gt;"",AD133,IFERROR(IF(INDEX('Настройки цен'!$B$17:$B$24,MATCH(E133,'Настройки цен'!$A$17:$A$24,0))="",'Настройки цен'!$B$5,INDEX('Настройки цен'!$B$17:$B$24,MATCH(E133,'Настройки цен'!$A$17:$A$24,0))),'Настройки цен'!$B$5))</f>
        <v>0</v>
      </c>
      <c r="AF133" s="9" t="str">
        <f aca="false">IF(AC133="","",ROUND(AC133*(1+AE133)/'Настройки цен'!$B$6,0)*'Настройки цен'!$B$6)</f>
        <v/>
      </c>
      <c r="AG133" s="12" t="str">
        <f aca="false">IF(OR(AC133="",H133=""),"",H133/AC133-1)</f>
        <v/>
      </c>
      <c r="AH133" s="7"/>
    </row>
    <row r="134" customFormat="false" ht="15.75" hidden="false" customHeight="true" outlineLevel="0" collapsed="false">
      <c r="A134" s="3" t="n">
        <v>2705642533401</v>
      </c>
      <c r="B134" s="3" t="s">
        <v>277</v>
      </c>
      <c r="D134" s="3" t="s">
        <v>222</v>
      </c>
      <c r="E134" s="3" t="s">
        <v>135</v>
      </c>
      <c r="F134" s="4"/>
      <c r="G134" s="5"/>
      <c r="H134" s="5" t="n">
        <v>1500</v>
      </c>
      <c r="I134" s="3" t="n">
        <v>1</v>
      </c>
      <c r="K134" s="6" t="n">
        <f aca="false">I134-J134</f>
        <v>1</v>
      </c>
      <c r="L134" s="5" t="n">
        <f aca="false">K134*H134</f>
        <v>1500</v>
      </c>
      <c r="M134" s="5" t="n">
        <f aca="false">IF(A134="","",H134*J134)</f>
        <v>0</v>
      </c>
      <c r="N134" s="5" t="n">
        <f aca="false">IF(A134="","",G134*J134)</f>
        <v>0</v>
      </c>
      <c r="O134" s="5" t="n">
        <f aca="false">IF(A134="","",M134-N134)</f>
        <v>0</v>
      </c>
      <c r="Q134" s="7" t="s">
        <v>278</v>
      </c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7" t="n">
        <f aca="false">SUMPRODUCT(--(R134:AA134&gt;0),'Настройки цен'!$B$12:$K$12)</f>
        <v>0</v>
      </c>
      <c r="AC134" s="9" t="str">
        <f aca="false">IF(AB134=0,"",SUMPRODUCT(R134:AA134,'Настройки цен'!$B$11:$K$11,'Настройки цен'!$B$12:$K$12)/AB134)</f>
        <v/>
      </c>
      <c r="AD134" s="10"/>
      <c r="AE134" s="11" t="n">
        <f aca="false">IF(AD134&lt;&gt;"",AD134,IFERROR(IF(INDEX('Настройки цен'!$B$17:$B$24,MATCH(E134,'Настройки цен'!$A$17:$A$24,0))="",'Настройки цен'!$B$5,INDEX('Настройки цен'!$B$17:$B$24,MATCH(E134,'Настройки цен'!$A$17:$A$24,0))),'Настройки цен'!$B$5))</f>
        <v>0</v>
      </c>
      <c r="AF134" s="9" t="str">
        <f aca="false">IF(AC134="","",ROUND(AC134*(1+AE134)/'Настройки цен'!$B$6,0)*'Настройки цен'!$B$6)</f>
        <v/>
      </c>
      <c r="AG134" s="12" t="str">
        <f aca="false">IF(OR(AC134="",H134=""),"",H134/AC134-1)</f>
        <v/>
      </c>
      <c r="AH134" s="7"/>
    </row>
    <row r="135" customFormat="false" ht="15.75" hidden="false" customHeight="true" outlineLevel="0" collapsed="false">
      <c r="A135" s="3" t="n">
        <v>2705642531001</v>
      </c>
      <c r="B135" s="3" t="s">
        <v>279</v>
      </c>
      <c r="D135" s="3" t="s">
        <v>222</v>
      </c>
      <c r="E135" s="3" t="s">
        <v>135</v>
      </c>
      <c r="F135" s="4"/>
      <c r="G135" s="5"/>
      <c r="H135" s="5" t="n">
        <v>1500</v>
      </c>
      <c r="I135" s="3" t="n">
        <v>1</v>
      </c>
      <c r="K135" s="6" t="n">
        <f aca="false">I135-J135</f>
        <v>1</v>
      </c>
      <c r="L135" s="5" t="n">
        <f aca="false">K135*H135</f>
        <v>1500</v>
      </c>
      <c r="M135" s="5" t="n">
        <f aca="false">IF(A135="","",H135*J135)</f>
        <v>0</v>
      </c>
      <c r="N135" s="5" t="n">
        <f aca="false">IF(A135="","",G135*J135)</f>
        <v>0</v>
      </c>
      <c r="O135" s="5" t="n">
        <f aca="false">IF(A135="","",M135-N135)</f>
        <v>0</v>
      </c>
      <c r="Q135" s="7" t="s">
        <v>280</v>
      </c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7" t="n">
        <f aca="false">SUMPRODUCT(--(R135:AA135&gt;0),'Настройки цен'!$B$12:$K$12)</f>
        <v>0</v>
      </c>
      <c r="AC135" s="9" t="str">
        <f aca="false">IF(AB135=0,"",SUMPRODUCT(R135:AA135,'Настройки цен'!$B$11:$K$11,'Настройки цен'!$B$12:$K$12)/AB135)</f>
        <v/>
      </c>
      <c r="AD135" s="10"/>
      <c r="AE135" s="11" t="n">
        <f aca="false">IF(AD135&lt;&gt;"",AD135,IFERROR(IF(INDEX('Настройки цен'!$B$17:$B$24,MATCH(E135,'Настройки цен'!$A$17:$A$24,0))="",'Настройки цен'!$B$5,INDEX('Настройки цен'!$B$17:$B$24,MATCH(E135,'Настройки цен'!$A$17:$A$24,0))),'Настройки цен'!$B$5))</f>
        <v>0</v>
      </c>
      <c r="AF135" s="9" t="str">
        <f aca="false">IF(AC135="","",ROUND(AC135*(1+AE135)/'Настройки цен'!$B$6,0)*'Настройки цен'!$B$6)</f>
        <v/>
      </c>
      <c r="AG135" s="12" t="str">
        <f aca="false">IF(OR(AC135="",H135=""),"",H135/AC135-1)</f>
        <v/>
      </c>
      <c r="AH135" s="7"/>
    </row>
    <row r="136" customFormat="false" ht="15.75" hidden="false" customHeight="true" outlineLevel="0" collapsed="false">
      <c r="A136" s="3" t="n">
        <v>4933843</v>
      </c>
      <c r="B136" s="3" t="s">
        <v>281</v>
      </c>
      <c r="D136" s="3" t="s">
        <v>282</v>
      </c>
      <c r="E136" s="3" t="s">
        <v>137</v>
      </c>
      <c r="F136" s="4"/>
      <c r="G136" s="5"/>
      <c r="H136" s="5" t="n">
        <v>2500</v>
      </c>
      <c r="I136" s="3" t="n">
        <v>2</v>
      </c>
      <c r="K136" s="6" t="n">
        <f aca="false">I136-J136</f>
        <v>2</v>
      </c>
      <c r="L136" s="5" t="n">
        <f aca="false">K136*H136</f>
        <v>5000</v>
      </c>
      <c r="M136" s="5" t="n">
        <f aca="false">IF(A136="","",H136*J136)</f>
        <v>0</v>
      </c>
      <c r="N136" s="5" t="n">
        <f aca="false">IF(A136="","",G136*J136)</f>
        <v>0</v>
      </c>
      <c r="O136" s="5" t="n">
        <f aca="false">IF(A136="","",M136-N136)</f>
        <v>0</v>
      </c>
      <c r="Q136" s="7" t="s">
        <v>283</v>
      </c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7" t="n">
        <f aca="false">SUMPRODUCT(--(R136:AA136&gt;0),'Настройки цен'!$B$12:$K$12)</f>
        <v>0</v>
      </c>
      <c r="AC136" s="9" t="str">
        <f aca="false">IF(AB136=0,"",SUMPRODUCT(R136:AA136,'Настройки цен'!$B$11:$K$11,'Настройки цен'!$B$12:$K$12)/AB136)</f>
        <v/>
      </c>
      <c r="AD136" s="10"/>
      <c r="AE136" s="11" t="n">
        <f aca="false">IF(AD136&lt;&gt;"",AD136,IFERROR(IF(INDEX('Настройки цен'!$B$17:$B$24,MATCH(E136,'Настройки цен'!$A$17:$A$24,0))="",'Настройки цен'!$B$5,INDEX('Настройки цен'!$B$17:$B$24,MATCH(E136,'Настройки цен'!$A$17:$A$24,0))),'Настройки цен'!$B$5))</f>
        <v>0</v>
      </c>
      <c r="AF136" s="9" t="str">
        <f aca="false">IF(AC136="","",ROUND(AC136*(1+AE136)/'Настройки цен'!$B$6,0)*'Настройки цен'!$B$6)</f>
        <v/>
      </c>
      <c r="AG136" s="12" t="str">
        <f aca="false">IF(OR(AC136="",H136=""),"",H136/AC136-1)</f>
        <v/>
      </c>
      <c r="AH136" s="7"/>
    </row>
    <row r="137" customFormat="false" ht="15.75" hidden="false" customHeight="true" outlineLevel="0" collapsed="false">
      <c r="A137" s="3" t="n">
        <v>7783702</v>
      </c>
      <c r="B137" s="3" t="s">
        <v>284</v>
      </c>
      <c r="D137" s="3" t="s">
        <v>285</v>
      </c>
      <c r="E137" s="3" t="s">
        <v>137</v>
      </c>
      <c r="F137" s="4"/>
      <c r="G137" s="5"/>
      <c r="H137" s="5" t="n">
        <v>2500</v>
      </c>
      <c r="I137" s="3" t="n">
        <v>4</v>
      </c>
      <c r="K137" s="6" t="n">
        <f aca="false">I137-J137</f>
        <v>4</v>
      </c>
      <c r="L137" s="5" t="n">
        <f aca="false">K137*H137</f>
        <v>10000</v>
      </c>
      <c r="M137" s="5" t="n">
        <f aca="false">IF(A137="","",H137*J137)</f>
        <v>0</v>
      </c>
      <c r="N137" s="5" t="n">
        <f aca="false">IF(A137="","",G137*J137)</f>
        <v>0</v>
      </c>
      <c r="O137" s="5" t="n">
        <f aca="false">IF(A137="","",M137-N137)</f>
        <v>0</v>
      </c>
      <c r="Q137" s="7" t="s">
        <v>286</v>
      </c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7" t="n">
        <f aca="false">SUMPRODUCT(--(R137:AA137&gt;0),'Настройки цен'!$B$12:$K$12)</f>
        <v>0</v>
      </c>
      <c r="AC137" s="9" t="str">
        <f aca="false">IF(AB137=0,"",SUMPRODUCT(R137:AA137,'Настройки цен'!$B$11:$K$11,'Настройки цен'!$B$12:$K$12)/AB137)</f>
        <v/>
      </c>
      <c r="AD137" s="10"/>
      <c r="AE137" s="11" t="n">
        <f aca="false">IF(AD137&lt;&gt;"",AD137,IFERROR(IF(INDEX('Настройки цен'!$B$17:$B$24,MATCH(E137,'Настройки цен'!$A$17:$A$24,0))="",'Настройки цен'!$B$5,INDEX('Настройки цен'!$B$17:$B$24,MATCH(E137,'Настройки цен'!$A$17:$A$24,0))),'Настройки цен'!$B$5))</f>
        <v>0</v>
      </c>
      <c r="AF137" s="9" t="str">
        <f aca="false">IF(AC137="","",ROUND(AC137*(1+AE137)/'Настройки цен'!$B$6,0)*'Настройки цен'!$B$6)</f>
        <v/>
      </c>
      <c r="AG137" s="12" t="str">
        <f aca="false">IF(OR(AC137="",H137=""),"",H137/AC137-1)</f>
        <v/>
      </c>
      <c r="AH137" s="7"/>
    </row>
    <row r="138" customFormat="false" ht="15.75" hidden="false" customHeight="true" outlineLevel="0" collapsed="false">
      <c r="A138" s="3" t="n">
        <v>653772</v>
      </c>
      <c r="B138" s="3" t="s">
        <v>284</v>
      </c>
      <c r="D138" s="3" t="s">
        <v>285</v>
      </c>
      <c r="E138" s="3" t="s">
        <v>137</v>
      </c>
      <c r="F138" s="4"/>
      <c r="G138" s="5"/>
      <c r="H138" s="5" t="n">
        <v>2500</v>
      </c>
      <c r="I138" s="3" t="n">
        <v>4</v>
      </c>
      <c r="K138" s="6" t="n">
        <f aca="false">I138-J138</f>
        <v>4</v>
      </c>
      <c r="L138" s="5" t="n">
        <f aca="false">K138*H138</f>
        <v>10000</v>
      </c>
      <c r="M138" s="5" t="n">
        <f aca="false">IF(A138="","",H138*J138)</f>
        <v>0</v>
      </c>
      <c r="N138" s="5" t="n">
        <f aca="false">IF(A138="","",G138*J138)</f>
        <v>0</v>
      </c>
      <c r="O138" s="5" t="n">
        <f aca="false">IF(A138="","",M138-N138)</f>
        <v>0</v>
      </c>
      <c r="Q138" s="7" t="s">
        <v>287</v>
      </c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7" t="n">
        <f aca="false">SUMPRODUCT(--(R138:AA138&gt;0),'Настройки цен'!$B$12:$K$12)</f>
        <v>0</v>
      </c>
      <c r="AC138" s="9" t="str">
        <f aca="false">IF(AB138=0,"",SUMPRODUCT(R138:AA138,'Настройки цен'!$B$11:$K$11,'Настройки цен'!$B$12:$K$12)/AB138)</f>
        <v/>
      </c>
      <c r="AD138" s="10"/>
      <c r="AE138" s="11" t="n">
        <f aca="false">IF(AD138&lt;&gt;"",AD138,IFERROR(IF(INDEX('Настройки цен'!$B$17:$B$24,MATCH(E138,'Настройки цен'!$A$17:$A$24,0))="",'Настройки цен'!$B$5,INDEX('Настройки цен'!$B$17:$B$24,MATCH(E138,'Настройки цен'!$A$17:$A$24,0))),'Настройки цен'!$B$5))</f>
        <v>0</v>
      </c>
      <c r="AF138" s="9" t="str">
        <f aca="false">IF(AC138="","",ROUND(AC138*(1+AE138)/'Настройки цен'!$B$6,0)*'Настройки цен'!$B$6)</f>
        <v/>
      </c>
      <c r="AG138" s="12" t="str">
        <f aca="false">IF(OR(AC138="",H138=""),"",H138/AC138-1)</f>
        <v/>
      </c>
      <c r="AH138" s="7"/>
    </row>
    <row r="139" customFormat="false" ht="15.75" hidden="false" customHeight="true" outlineLevel="0" collapsed="false">
      <c r="B139" s="3" t="s">
        <v>288</v>
      </c>
      <c r="D139" s="3" t="s">
        <v>273</v>
      </c>
      <c r="E139" s="3" t="s">
        <v>70</v>
      </c>
      <c r="F139" s="4"/>
      <c r="G139" s="5"/>
      <c r="H139" s="5" t="n">
        <v>8000</v>
      </c>
      <c r="I139" s="3" t="n">
        <v>2</v>
      </c>
      <c r="K139" s="6" t="n">
        <f aca="false">I139-J139</f>
        <v>2</v>
      </c>
      <c r="L139" s="5" t="n">
        <f aca="false">K139*H139</f>
        <v>16000</v>
      </c>
      <c r="M139" s="5" t="str">
        <f aca="false">IF(A139="","",H139*J139)</f>
        <v/>
      </c>
      <c r="N139" s="5" t="str">
        <f aca="false">IF(A139="","",G139*J139)</f>
        <v/>
      </c>
      <c r="O139" s="5" t="str">
        <f aca="false">IF(A139="","",M139-N139)</f>
        <v/>
      </c>
      <c r="Q139" s="7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7" t="n">
        <f aca="false">SUMPRODUCT(--(R139:AA139&gt;0),'Настройки цен'!$B$12:$K$12)</f>
        <v>0</v>
      </c>
      <c r="AC139" s="9" t="str">
        <f aca="false">IF(AB139=0,"",SUMPRODUCT(R139:AA139,'Настройки цен'!$B$11:$K$11,'Настройки цен'!$B$12:$K$12)/AB139)</f>
        <v/>
      </c>
      <c r="AD139" s="10"/>
      <c r="AE139" s="11" t="n">
        <f aca="false">IF(AD139&lt;&gt;"",AD139,IFERROR(IF(INDEX('Настройки цен'!$B$17:$B$24,MATCH(E139,'Настройки цен'!$A$17:$A$24,0))="",'Настройки цен'!$B$5,INDEX('Настройки цен'!$B$17:$B$24,MATCH(E139,'Настройки цен'!$A$17:$A$24,0))),'Настройки цен'!$B$5))</f>
        <v>0</v>
      </c>
      <c r="AF139" s="9" t="str">
        <f aca="false">IF(AC139="","",ROUND(AC139*(1+AE139)/'Настройки цен'!$B$6,0)*'Настройки цен'!$B$6)</f>
        <v/>
      </c>
      <c r="AG139" s="12" t="str">
        <f aca="false">IF(OR(AC139="",H139=""),"",H139/AC139-1)</f>
        <v/>
      </c>
      <c r="AH139" s="7"/>
    </row>
    <row r="140" customFormat="false" ht="15.75" hidden="false" customHeight="true" outlineLevel="0" collapsed="false">
      <c r="A140" s="3" t="n">
        <v>31511701041</v>
      </c>
      <c r="B140" s="3" t="s">
        <v>124</v>
      </c>
      <c r="D140" s="3" t="s">
        <v>41</v>
      </c>
      <c r="E140" s="3" t="s">
        <v>55</v>
      </c>
      <c r="F140" s="4"/>
      <c r="G140" s="5"/>
      <c r="H140" s="5" t="n">
        <v>10000</v>
      </c>
      <c r="I140" s="3" t="n">
        <v>13</v>
      </c>
      <c r="K140" s="6" t="n">
        <f aca="false">I140-J140</f>
        <v>13</v>
      </c>
      <c r="L140" s="5" t="n">
        <f aca="false">K140*H140</f>
        <v>130000</v>
      </c>
      <c r="M140" s="5" t="n">
        <f aca="false">IF(A140="","",H140*J140)</f>
        <v>0</v>
      </c>
      <c r="N140" s="5" t="n">
        <f aca="false">IF(A140="","",G140*J140)</f>
        <v>0</v>
      </c>
      <c r="O140" s="5" t="n">
        <f aca="false">IF(A140="","",M140-N140)</f>
        <v>0</v>
      </c>
      <c r="Q140" s="7" t="s">
        <v>289</v>
      </c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7" t="n">
        <f aca="false">SUMPRODUCT(--(R140:AA140&gt;0),'Настройки цен'!$B$12:$K$12)</f>
        <v>0</v>
      </c>
      <c r="AC140" s="9" t="str">
        <f aca="false">IF(AB140=0,"",SUMPRODUCT(R140:AA140,'Настройки цен'!$B$11:$K$11,'Настройки цен'!$B$12:$K$12)/AB140)</f>
        <v/>
      </c>
      <c r="AD140" s="10"/>
      <c r="AE140" s="11" t="n">
        <f aca="false">IF(AD140&lt;&gt;"",AD140,IFERROR(IF(INDEX('Настройки цен'!$B$17:$B$24,MATCH(E140,'Настройки цен'!$A$17:$A$24,0))="",'Настройки цен'!$B$5,INDEX('Настройки цен'!$B$17:$B$24,MATCH(E140,'Настройки цен'!$A$17:$A$24,0))),'Настройки цен'!$B$5))</f>
        <v>0</v>
      </c>
      <c r="AF140" s="9" t="str">
        <f aca="false">IF(AC140="","",ROUND(AC140*(1+AE140)/'Настройки цен'!$B$6,0)*'Настройки цен'!$B$6)</f>
        <v/>
      </c>
      <c r="AG140" s="12" t="str">
        <f aca="false">IF(OR(AC140="",H140=""),"",H140/AC140-1)</f>
        <v/>
      </c>
      <c r="AH140" s="7"/>
    </row>
    <row r="141" customFormat="false" ht="15.75" hidden="false" customHeight="true" outlineLevel="0" collapsed="false">
      <c r="A141" s="3" t="n">
        <v>69180204301</v>
      </c>
      <c r="B141" s="3" t="s">
        <v>290</v>
      </c>
      <c r="D141" s="3" t="s">
        <v>41</v>
      </c>
      <c r="E141" s="3" t="s">
        <v>55</v>
      </c>
      <c r="F141" s="4"/>
      <c r="G141" s="5"/>
      <c r="H141" s="5" t="n">
        <v>20000</v>
      </c>
      <c r="I141" s="3" t="n">
        <v>10</v>
      </c>
      <c r="K141" s="6" t="n">
        <f aca="false">I141-J141</f>
        <v>10</v>
      </c>
      <c r="L141" s="5" t="n">
        <f aca="false">K141*H141</f>
        <v>200000</v>
      </c>
      <c r="M141" s="5" t="n">
        <f aca="false">IF(A141="","",H141*J141)</f>
        <v>0</v>
      </c>
      <c r="N141" s="5" t="n">
        <f aca="false">IF(A141="","",G141*J141)</f>
        <v>0</v>
      </c>
      <c r="O141" s="5" t="n">
        <f aca="false">IF(A141="","",M141-N141)</f>
        <v>0</v>
      </c>
      <c r="Q141" s="7" t="s">
        <v>291</v>
      </c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7" t="n">
        <f aca="false">SUMPRODUCT(--(R141:AA141&gt;0),'Настройки цен'!$B$12:$K$12)</f>
        <v>0</v>
      </c>
      <c r="AC141" s="9" t="str">
        <f aca="false">IF(AB141=0,"",SUMPRODUCT(R141:AA141,'Настройки цен'!$B$11:$K$11,'Настройки цен'!$B$12:$K$12)/AB141)</f>
        <v/>
      </c>
      <c r="AD141" s="10"/>
      <c r="AE141" s="11" t="n">
        <f aca="false">IF(AD141&lt;&gt;"",AD141,IFERROR(IF(INDEX('Настройки цен'!$B$17:$B$24,MATCH(E141,'Настройки цен'!$A$17:$A$24,0))="",'Настройки цен'!$B$5,INDEX('Настройки цен'!$B$17:$B$24,MATCH(E141,'Настройки цен'!$A$17:$A$24,0))),'Настройки цен'!$B$5))</f>
        <v>0</v>
      </c>
      <c r="AF141" s="9" t="str">
        <f aca="false">IF(AC141="","",ROUND(AC141*(1+AE141)/'Настройки цен'!$B$6,0)*'Настройки цен'!$B$6)</f>
        <v/>
      </c>
      <c r="AG141" s="12" t="str">
        <f aca="false">IF(OR(AC141="",H141=""),"",H141/AC141-1)</f>
        <v/>
      </c>
      <c r="AH141" s="7"/>
    </row>
    <row r="142" customFormat="false" ht="15.75" hidden="false" customHeight="true" outlineLevel="0" collapsed="false">
      <c r="A142" s="3" t="s">
        <v>292</v>
      </c>
      <c r="B142" s="3" t="s">
        <v>293</v>
      </c>
      <c r="D142" s="3" t="s">
        <v>41</v>
      </c>
      <c r="E142" s="3" t="s">
        <v>70</v>
      </c>
      <c r="F142" s="4"/>
      <c r="G142" s="5"/>
      <c r="H142" s="5" t="n">
        <v>60000</v>
      </c>
      <c r="I142" s="3" t="n">
        <v>1</v>
      </c>
      <c r="K142" s="6" t="n">
        <f aca="false">I142-J142</f>
        <v>1</v>
      </c>
      <c r="L142" s="5" t="n">
        <f aca="false">K142*H142</f>
        <v>60000</v>
      </c>
      <c r="M142" s="5" t="n">
        <f aca="false">IF(A142="","",H142*J142)</f>
        <v>0</v>
      </c>
      <c r="N142" s="5" t="n">
        <f aca="false">IF(A142="","",G142*J142)</f>
        <v>0</v>
      </c>
      <c r="O142" s="5" t="n">
        <f aca="false">IF(A142="","",M142-N142)</f>
        <v>0</v>
      </c>
      <c r="Q142" s="7" t="s">
        <v>292</v>
      </c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7" t="n">
        <f aca="false">SUMPRODUCT(--(R142:AA142&gt;0),'Настройки цен'!$B$12:$K$12)</f>
        <v>0</v>
      </c>
      <c r="AC142" s="9" t="str">
        <f aca="false">IF(AB142=0,"",SUMPRODUCT(R142:AA142,'Настройки цен'!$B$11:$K$11,'Настройки цен'!$B$12:$K$12)/AB142)</f>
        <v/>
      </c>
      <c r="AD142" s="10"/>
      <c r="AE142" s="11" t="n">
        <f aca="false">IF(AD142&lt;&gt;"",AD142,IFERROR(IF(INDEX('Настройки цен'!$B$17:$B$24,MATCH(E142,'Настройки цен'!$A$17:$A$24,0))="",'Настройки цен'!$B$5,INDEX('Настройки цен'!$B$17:$B$24,MATCH(E142,'Настройки цен'!$A$17:$A$24,0))),'Настройки цен'!$B$5))</f>
        <v>0</v>
      </c>
      <c r="AF142" s="9" t="str">
        <f aca="false">IF(AC142="","",ROUND(AC142*(1+AE142)/'Настройки цен'!$B$6,0)*'Настройки цен'!$B$6)</f>
        <v/>
      </c>
      <c r="AG142" s="12" t="str">
        <f aca="false">IF(OR(AC142="",H142=""),"",H142/AC142-1)</f>
        <v/>
      </c>
      <c r="AH142" s="7"/>
    </row>
    <row r="143" customFormat="false" ht="15.75" hidden="false" customHeight="true" outlineLevel="0" collapsed="false">
      <c r="A143" s="3" t="n">
        <v>531008000</v>
      </c>
      <c r="B143" s="3" t="s">
        <v>294</v>
      </c>
      <c r="D143" s="3" t="s">
        <v>242</v>
      </c>
      <c r="E143" s="3" t="s">
        <v>70</v>
      </c>
      <c r="F143" s="4"/>
      <c r="G143" s="5"/>
      <c r="H143" s="5" t="n">
        <v>4000</v>
      </c>
      <c r="I143" s="3" t="n">
        <v>6</v>
      </c>
      <c r="K143" s="6" t="n">
        <f aca="false">I143-J143</f>
        <v>6</v>
      </c>
      <c r="L143" s="5" t="n">
        <f aca="false">K143*H143</f>
        <v>24000</v>
      </c>
      <c r="M143" s="5" t="n">
        <f aca="false">IF(A143="","",H143*J143)</f>
        <v>0</v>
      </c>
      <c r="N143" s="5" t="n">
        <f aca="false">IF(A143="","",G143*J143)</f>
        <v>0</v>
      </c>
      <c r="O143" s="5" t="n">
        <f aca="false">IF(A143="","",M143-N143)</f>
        <v>0</v>
      </c>
      <c r="Q143" s="7" t="s">
        <v>295</v>
      </c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7" t="n">
        <f aca="false">SUMPRODUCT(--(R143:AA143&gt;0),'Настройки цен'!$B$12:$K$12)</f>
        <v>0</v>
      </c>
      <c r="AC143" s="9" t="str">
        <f aca="false">IF(AB143=0,"",SUMPRODUCT(R143:AA143,'Настройки цен'!$B$11:$K$11,'Настройки цен'!$B$12:$K$12)/AB143)</f>
        <v/>
      </c>
      <c r="AD143" s="10"/>
      <c r="AE143" s="11" t="n">
        <f aca="false">IF(AD143&lt;&gt;"",AD143,IFERROR(IF(INDEX('Настройки цен'!$B$17:$B$24,MATCH(E143,'Настройки цен'!$A$17:$A$24,0))="",'Настройки цен'!$B$5,INDEX('Настройки цен'!$B$17:$B$24,MATCH(E143,'Настройки цен'!$A$17:$A$24,0))),'Настройки цен'!$B$5))</f>
        <v>0</v>
      </c>
      <c r="AF143" s="9" t="str">
        <f aca="false">IF(AC143="","",ROUND(AC143*(1+AE143)/'Настройки цен'!$B$6,0)*'Настройки цен'!$B$6)</f>
        <v/>
      </c>
      <c r="AG143" s="12" t="str">
        <f aca="false">IF(OR(AC143="",H143=""),"",H143/AC143-1)</f>
        <v/>
      </c>
      <c r="AH143" s="7"/>
    </row>
    <row r="144" customFormat="false" ht="15.75" hidden="false" customHeight="true" outlineLevel="0" collapsed="false">
      <c r="A144" s="3" t="n">
        <v>31633538030</v>
      </c>
      <c r="B144" s="3" t="s">
        <v>296</v>
      </c>
      <c r="D144" s="3" t="s">
        <v>41</v>
      </c>
      <c r="E144" s="3" t="s">
        <v>37</v>
      </c>
      <c r="F144" s="4"/>
      <c r="G144" s="5"/>
      <c r="H144" s="5" t="n">
        <v>10000</v>
      </c>
      <c r="I144" s="3" t="n">
        <v>3</v>
      </c>
      <c r="K144" s="6" t="n">
        <f aca="false">I144-J144</f>
        <v>3</v>
      </c>
      <c r="L144" s="5" t="n">
        <f aca="false">K144*H144</f>
        <v>30000</v>
      </c>
      <c r="M144" s="5" t="n">
        <f aca="false">IF(A144="","",H144*J144)</f>
        <v>0</v>
      </c>
      <c r="N144" s="5" t="n">
        <f aca="false">IF(A144="","",G144*J144)</f>
        <v>0</v>
      </c>
      <c r="O144" s="5" t="n">
        <f aca="false">IF(A144="","",M144-N144)</f>
        <v>0</v>
      </c>
      <c r="Q144" s="7" t="s">
        <v>297</v>
      </c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7" t="n">
        <f aca="false">SUMPRODUCT(--(R144:AA144&gt;0),'Настройки цен'!$B$12:$K$12)</f>
        <v>0</v>
      </c>
      <c r="AC144" s="9" t="str">
        <f aca="false">IF(AB144=0,"",SUMPRODUCT(R144:AA144,'Настройки цен'!$B$11:$K$11,'Настройки цен'!$B$12:$K$12)/AB144)</f>
        <v/>
      </c>
      <c r="AD144" s="10"/>
      <c r="AE144" s="11" t="n">
        <f aca="false">IF(AD144&lt;&gt;"",AD144,IFERROR(IF(INDEX('Настройки цен'!$B$17:$B$24,MATCH(E144,'Настройки цен'!$A$17:$A$24,0))="",'Настройки цен'!$B$5,INDEX('Настройки цен'!$B$17:$B$24,MATCH(E144,'Настройки цен'!$A$17:$A$24,0))),'Настройки цен'!$B$5))</f>
        <v>0</v>
      </c>
      <c r="AF144" s="9" t="str">
        <f aca="false">IF(AC144="","",ROUND(AC144*(1+AE144)/'Настройки цен'!$B$6,0)*'Настройки цен'!$B$6)</f>
        <v/>
      </c>
      <c r="AG144" s="12" t="str">
        <f aca="false">IF(OR(AC144="",H144=""),"",H144/AC144-1)</f>
        <v/>
      </c>
      <c r="AH144" s="7"/>
    </row>
    <row r="145" customFormat="false" ht="15.75" hidden="false" customHeight="true" outlineLevel="0" collapsed="false">
      <c r="B145" s="3" t="s">
        <v>298</v>
      </c>
      <c r="D145" s="3" t="s">
        <v>41</v>
      </c>
      <c r="E145" s="3" t="s">
        <v>37</v>
      </c>
      <c r="F145" s="4"/>
      <c r="G145" s="5"/>
      <c r="H145" s="5" t="n">
        <v>1500</v>
      </c>
      <c r="I145" s="3" t="n">
        <v>12</v>
      </c>
      <c r="K145" s="6" t="n">
        <f aca="false">I145-J145</f>
        <v>12</v>
      </c>
      <c r="L145" s="5" t="n">
        <f aca="false">K145*H145</f>
        <v>18000</v>
      </c>
      <c r="M145" s="5" t="str">
        <f aca="false">IF(A145="","",H145*J145)</f>
        <v/>
      </c>
      <c r="N145" s="5" t="str">
        <f aca="false">IF(A145="","",G145*J145)</f>
        <v/>
      </c>
      <c r="O145" s="5" t="str">
        <f aca="false">IF(A145="","",M145-N145)</f>
        <v/>
      </c>
      <c r="Q145" s="7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7" t="n">
        <f aca="false">SUMPRODUCT(--(R145:AA145&gt;0),'Настройки цен'!$B$12:$K$12)</f>
        <v>0</v>
      </c>
      <c r="AC145" s="9" t="str">
        <f aca="false">IF(AB145=0,"",SUMPRODUCT(R145:AA145,'Настройки цен'!$B$11:$K$11,'Настройки цен'!$B$12:$K$12)/AB145)</f>
        <v/>
      </c>
      <c r="AD145" s="10"/>
      <c r="AE145" s="11" t="n">
        <f aca="false">IF(AD145&lt;&gt;"",AD145,IFERROR(IF(INDEX('Настройки цен'!$B$17:$B$24,MATCH(E145,'Настройки цен'!$A$17:$A$24,0))="",'Настройки цен'!$B$5,INDEX('Настройки цен'!$B$17:$B$24,MATCH(E145,'Настройки цен'!$A$17:$A$24,0))),'Настройки цен'!$B$5))</f>
        <v>0</v>
      </c>
      <c r="AF145" s="9" t="str">
        <f aca="false">IF(AC145="","",ROUND(AC145*(1+AE145)/'Настройки цен'!$B$6,0)*'Настройки цен'!$B$6)</f>
        <v/>
      </c>
      <c r="AG145" s="12" t="str">
        <f aca="false">IF(OR(AC145="",H145=""),"",H145/AC145-1)</f>
        <v/>
      </c>
      <c r="AH145" s="7"/>
    </row>
    <row r="146" customFormat="false" ht="15.75" hidden="false" customHeight="true" outlineLevel="0" collapsed="false">
      <c r="A146" s="3" t="n">
        <v>3302</v>
      </c>
      <c r="B146" s="3" t="s">
        <v>299</v>
      </c>
      <c r="D146" s="3" t="s">
        <v>222</v>
      </c>
      <c r="E146" s="3" t="s">
        <v>70</v>
      </c>
      <c r="F146" s="4"/>
      <c r="G146" s="5"/>
      <c r="H146" s="5" t="n">
        <v>70000</v>
      </c>
      <c r="I146" s="3" t="n">
        <v>1</v>
      </c>
      <c r="K146" s="6" t="n">
        <f aca="false">I146-J146</f>
        <v>1</v>
      </c>
      <c r="L146" s="5" t="n">
        <f aca="false">K146*H146</f>
        <v>70000</v>
      </c>
      <c r="M146" s="5" t="n">
        <f aca="false">IF(A146="","",H146*J146)</f>
        <v>0</v>
      </c>
      <c r="N146" s="5" t="n">
        <f aca="false">IF(A146="","",G146*J146)</f>
        <v>0</v>
      </c>
      <c r="O146" s="5" t="n">
        <f aca="false">IF(A146="","",M146-N146)</f>
        <v>0</v>
      </c>
      <c r="Q146" s="7" t="s">
        <v>300</v>
      </c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7" t="n">
        <f aca="false">SUMPRODUCT(--(R146:AA146&gt;0),'Настройки цен'!$B$12:$K$12)</f>
        <v>0</v>
      </c>
      <c r="AC146" s="9" t="str">
        <f aca="false">IF(AB146=0,"",SUMPRODUCT(R146:AA146,'Настройки цен'!$B$11:$K$11,'Настройки цен'!$B$12:$K$12)/AB146)</f>
        <v/>
      </c>
      <c r="AD146" s="10"/>
      <c r="AE146" s="11" t="n">
        <f aca="false">IF(AD146&lt;&gt;"",AD146,IFERROR(IF(INDEX('Настройки цен'!$B$17:$B$24,MATCH(E146,'Настройки цен'!$A$17:$A$24,0))="",'Настройки цен'!$B$5,INDEX('Настройки цен'!$B$17:$B$24,MATCH(E146,'Настройки цен'!$A$17:$A$24,0))),'Настройки цен'!$B$5))</f>
        <v>0</v>
      </c>
      <c r="AF146" s="9" t="str">
        <f aca="false">IF(AC146="","",ROUND(AC146*(1+AE146)/'Настройки цен'!$B$6,0)*'Настройки цен'!$B$6)</f>
        <v/>
      </c>
      <c r="AG146" s="12" t="str">
        <f aca="false">IF(OR(AC146="",H146=""),"",H146/AC146-1)</f>
        <v/>
      </c>
      <c r="AH146" s="7"/>
    </row>
    <row r="147" customFormat="false" ht="15.75" hidden="false" customHeight="true" outlineLevel="0" collapsed="false">
      <c r="A147" s="3" t="n">
        <v>3151351001003</v>
      </c>
      <c r="B147" s="3" t="s">
        <v>301</v>
      </c>
      <c r="D147" s="3" t="s">
        <v>82</v>
      </c>
      <c r="E147" s="3" t="s">
        <v>37</v>
      </c>
      <c r="F147" s="4"/>
      <c r="G147" s="5"/>
      <c r="H147" s="5" t="n">
        <v>50000</v>
      </c>
      <c r="I147" s="3" t="n">
        <v>1</v>
      </c>
      <c r="K147" s="6" t="n">
        <f aca="false">I147-J147</f>
        <v>1</v>
      </c>
      <c r="L147" s="5" t="n">
        <f aca="false">K147*H147</f>
        <v>50000</v>
      </c>
      <c r="M147" s="5" t="n">
        <f aca="false">IF(A147="","",H147*J147)</f>
        <v>0</v>
      </c>
      <c r="N147" s="5" t="n">
        <f aca="false">IF(A147="","",G147*J147)</f>
        <v>0</v>
      </c>
      <c r="O147" s="5" t="n">
        <f aca="false">IF(A147="","",M147-N147)</f>
        <v>0</v>
      </c>
      <c r="Q147" s="7" t="s">
        <v>302</v>
      </c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7" t="n">
        <f aca="false">SUMPRODUCT(--(R147:AA147&gt;0),'Настройки цен'!$B$12:$K$12)</f>
        <v>0</v>
      </c>
      <c r="AC147" s="9" t="str">
        <f aca="false">IF(AB147=0,"",SUMPRODUCT(R147:AA147,'Настройки цен'!$B$11:$K$11,'Настройки цен'!$B$12:$K$12)/AB147)</f>
        <v/>
      </c>
      <c r="AD147" s="10"/>
      <c r="AE147" s="11" t="n">
        <f aca="false">IF(AD147&lt;&gt;"",AD147,IFERROR(IF(INDEX('Настройки цен'!$B$17:$B$24,MATCH(E147,'Настройки цен'!$A$17:$A$24,0))="",'Настройки цен'!$B$5,INDEX('Настройки цен'!$B$17:$B$24,MATCH(E147,'Настройки цен'!$A$17:$A$24,0))),'Настройки цен'!$B$5))</f>
        <v>0</v>
      </c>
      <c r="AF147" s="9" t="str">
        <f aca="false">IF(AC147="","",ROUND(AC147*(1+AE147)/'Настройки цен'!$B$6,0)*'Настройки цен'!$B$6)</f>
        <v/>
      </c>
      <c r="AG147" s="12" t="str">
        <f aca="false">IF(OR(AC147="",H147=""),"",H147/AC147-1)</f>
        <v/>
      </c>
      <c r="AH147" s="7"/>
    </row>
    <row r="148" customFormat="false" ht="15.75" hidden="false" customHeight="true" outlineLevel="0" collapsed="false">
      <c r="A148" s="3" t="n">
        <v>31512407191</v>
      </c>
      <c r="B148" s="3" t="s">
        <v>303</v>
      </c>
      <c r="D148" s="3" t="s">
        <v>41</v>
      </c>
      <c r="E148" s="3" t="s">
        <v>55</v>
      </c>
      <c r="F148" s="4"/>
      <c r="G148" s="5"/>
      <c r="H148" s="5" t="n">
        <v>10000</v>
      </c>
      <c r="I148" s="3" t="n">
        <v>45</v>
      </c>
      <c r="K148" s="6" t="n">
        <f aca="false">I148-J148</f>
        <v>45</v>
      </c>
      <c r="L148" s="5" t="n">
        <f aca="false">K148*H148</f>
        <v>450000</v>
      </c>
      <c r="M148" s="5" t="n">
        <f aca="false">IF(A148="","",H148*J148)</f>
        <v>0</v>
      </c>
      <c r="N148" s="5" t="n">
        <f aca="false">IF(A148="","",G148*J148)</f>
        <v>0</v>
      </c>
      <c r="O148" s="5" t="n">
        <f aca="false">IF(A148="","",M148-N148)</f>
        <v>0</v>
      </c>
      <c r="Q148" s="7" t="s">
        <v>304</v>
      </c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7" t="n">
        <f aca="false">SUMPRODUCT(--(R148:AA148&gt;0),'Настройки цен'!$B$12:$K$12)</f>
        <v>0</v>
      </c>
      <c r="AC148" s="9" t="str">
        <f aca="false">IF(AB148=0,"",SUMPRODUCT(R148:AA148,'Настройки цен'!$B$11:$K$11,'Настройки цен'!$B$12:$K$12)/AB148)</f>
        <v/>
      </c>
      <c r="AD148" s="10"/>
      <c r="AE148" s="11" t="n">
        <f aca="false">IF(AD148&lt;&gt;"",AD148,IFERROR(IF(INDEX('Настройки цен'!$B$17:$B$24,MATCH(E148,'Настройки цен'!$A$17:$A$24,0))="",'Настройки цен'!$B$5,INDEX('Настройки цен'!$B$17:$B$24,MATCH(E148,'Настройки цен'!$A$17:$A$24,0))),'Настройки цен'!$B$5))</f>
        <v>0</v>
      </c>
      <c r="AF148" s="9" t="str">
        <f aca="false">IF(AC148="","",ROUND(AC148*(1+AE148)/'Настройки цен'!$B$6,0)*'Настройки цен'!$B$6)</f>
        <v/>
      </c>
      <c r="AG148" s="12" t="str">
        <f aca="false">IF(OR(AC148="",H148=""),"",H148/AC148-1)</f>
        <v/>
      </c>
      <c r="AH148" s="7"/>
    </row>
    <row r="149" customFormat="false" ht="15.75" hidden="false" customHeight="true" outlineLevel="0" collapsed="false">
      <c r="B149" s="3" t="s">
        <v>305</v>
      </c>
      <c r="D149" s="3" t="s">
        <v>41</v>
      </c>
      <c r="E149" s="3" t="s">
        <v>55</v>
      </c>
      <c r="F149" s="4"/>
      <c r="G149" s="5"/>
      <c r="H149" s="5" t="n">
        <v>10000</v>
      </c>
      <c r="I149" s="3" t="n">
        <v>1</v>
      </c>
      <c r="K149" s="6" t="n">
        <f aca="false">I149-J149</f>
        <v>1</v>
      </c>
      <c r="L149" s="5" t="n">
        <f aca="false">K149*H149</f>
        <v>10000</v>
      </c>
      <c r="M149" s="5" t="str">
        <f aca="false">IF(A149="","",H149*J149)</f>
        <v/>
      </c>
      <c r="N149" s="5" t="str">
        <f aca="false">IF(A149="","",G149*J149)</f>
        <v/>
      </c>
      <c r="O149" s="5" t="str">
        <f aca="false">IF(A149="","",M149-N149)</f>
        <v/>
      </c>
      <c r="Q149" s="7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7" t="n">
        <f aca="false">SUMPRODUCT(--(R149:AA149&gt;0),'Настройки цен'!$B$12:$K$12)</f>
        <v>0</v>
      </c>
      <c r="AC149" s="9" t="str">
        <f aca="false">IF(AB149=0,"",SUMPRODUCT(R149:AA149,'Настройки цен'!$B$11:$K$11,'Настройки цен'!$B$12:$K$12)/AB149)</f>
        <v/>
      </c>
      <c r="AD149" s="10"/>
      <c r="AE149" s="11" t="n">
        <f aca="false">IF(AD149&lt;&gt;"",AD149,IFERROR(IF(INDEX('Настройки цен'!$B$17:$B$24,MATCH(E149,'Настройки цен'!$A$17:$A$24,0))="",'Настройки цен'!$B$5,INDEX('Настройки цен'!$B$17:$B$24,MATCH(E149,'Настройки цен'!$A$17:$A$24,0))),'Настройки цен'!$B$5))</f>
        <v>0</v>
      </c>
      <c r="AF149" s="9" t="str">
        <f aca="false">IF(AC149="","",ROUND(AC149*(1+AE149)/'Настройки цен'!$B$6,0)*'Настройки цен'!$B$6)</f>
        <v/>
      </c>
      <c r="AG149" s="12" t="str">
        <f aca="false">IF(OR(AC149="",H149=""),"",H149/AC149-1)</f>
        <v/>
      </c>
      <c r="AH149" s="7"/>
    </row>
    <row r="150" customFormat="false" ht="15.75" hidden="false" customHeight="true" outlineLevel="0" collapsed="false">
      <c r="A150" s="3" t="n">
        <v>4691701080</v>
      </c>
      <c r="B150" s="3" t="s">
        <v>306</v>
      </c>
      <c r="D150" s="3" t="s">
        <v>41</v>
      </c>
      <c r="E150" s="3" t="s">
        <v>55</v>
      </c>
      <c r="F150" s="4"/>
      <c r="G150" s="5"/>
      <c r="H150" s="5" t="n">
        <v>15000</v>
      </c>
      <c r="I150" s="3" t="n">
        <v>2</v>
      </c>
      <c r="K150" s="6" t="n">
        <f aca="false">I150-J150</f>
        <v>2</v>
      </c>
      <c r="L150" s="5" t="n">
        <f aca="false">K150*H150</f>
        <v>30000</v>
      </c>
      <c r="M150" s="5" t="n">
        <f aca="false">IF(A150="","",H150*J150)</f>
        <v>0</v>
      </c>
      <c r="N150" s="5" t="n">
        <f aca="false">IF(A150="","",G150*J150)</f>
        <v>0</v>
      </c>
      <c r="O150" s="5" t="n">
        <f aca="false">IF(A150="","",M150-N150)</f>
        <v>0</v>
      </c>
      <c r="Q150" s="7" t="s">
        <v>307</v>
      </c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7" t="n">
        <f aca="false">SUMPRODUCT(--(R150:AA150&gt;0),'Настройки цен'!$B$12:$K$12)</f>
        <v>0</v>
      </c>
      <c r="AC150" s="9" t="str">
        <f aca="false">IF(AB150=0,"",SUMPRODUCT(R150:AA150,'Настройки цен'!$B$11:$K$11,'Настройки цен'!$B$12:$K$12)/AB150)</f>
        <v/>
      </c>
      <c r="AD150" s="10"/>
      <c r="AE150" s="11" t="n">
        <f aca="false">IF(AD150&lt;&gt;"",AD150,IFERROR(IF(INDEX('Настройки цен'!$B$17:$B$24,MATCH(E150,'Настройки цен'!$A$17:$A$24,0))="",'Настройки цен'!$B$5,INDEX('Настройки цен'!$B$17:$B$24,MATCH(E150,'Настройки цен'!$A$17:$A$24,0))),'Настройки цен'!$B$5))</f>
        <v>0</v>
      </c>
      <c r="AF150" s="9" t="str">
        <f aca="false">IF(AC150="","",ROUND(AC150*(1+AE150)/'Настройки цен'!$B$6,0)*'Настройки цен'!$B$6)</f>
        <v/>
      </c>
      <c r="AG150" s="12" t="str">
        <f aca="false">IF(OR(AC150="",H150=""),"",H150/AC150-1)</f>
        <v/>
      </c>
      <c r="AH150" s="7"/>
    </row>
    <row r="151" customFormat="false" ht="15.75" hidden="false" customHeight="true" outlineLevel="0" collapsed="false">
      <c r="A151" s="3" t="n">
        <v>4516323130</v>
      </c>
      <c r="B151" s="3" t="s">
        <v>308</v>
      </c>
      <c r="D151" s="3" t="s">
        <v>36</v>
      </c>
      <c r="E151" s="3" t="s">
        <v>135</v>
      </c>
      <c r="F151" s="4"/>
      <c r="G151" s="5"/>
      <c r="H151" s="5" t="n">
        <v>15000</v>
      </c>
      <c r="I151" s="3" t="n">
        <v>1</v>
      </c>
      <c r="K151" s="6" t="n">
        <f aca="false">I151-J151</f>
        <v>1</v>
      </c>
      <c r="L151" s="5" t="n">
        <f aca="false">K151*H151</f>
        <v>15000</v>
      </c>
      <c r="M151" s="5" t="n">
        <f aca="false">IF(A151="","",H151*J151)</f>
        <v>0</v>
      </c>
      <c r="N151" s="5" t="n">
        <f aca="false">IF(A151="","",G151*J151)</f>
        <v>0</v>
      </c>
      <c r="O151" s="5" t="n">
        <f aca="false">IF(A151="","",M151-N151)</f>
        <v>0</v>
      </c>
      <c r="Q151" s="7" t="s">
        <v>309</v>
      </c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7" t="n">
        <f aca="false">SUMPRODUCT(--(R151:AA151&gt;0),'Настройки цен'!$B$12:$K$12)</f>
        <v>0</v>
      </c>
      <c r="AC151" s="9" t="str">
        <f aca="false">IF(AB151=0,"",SUMPRODUCT(R151:AA151,'Настройки цен'!$B$11:$K$11,'Настройки цен'!$B$12:$K$12)/AB151)</f>
        <v/>
      </c>
      <c r="AD151" s="10"/>
      <c r="AE151" s="11" t="n">
        <f aca="false">IF(AD151&lt;&gt;"",AD151,IFERROR(IF(INDEX('Настройки цен'!$B$17:$B$24,MATCH(E151,'Настройки цен'!$A$17:$A$24,0))="",'Настройки цен'!$B$5,INDEX('Настройки цен'!$B$17:$B$24,MATCH(E151,'Настройки цен'!$A$17:$A$24,0))),'Настройки цен'!$B$5))</f>
        <v>0</v>
      </c>
      <c r="AF151" s="9" t="str">
        <f aca="false">IF(AC151="","",ROUND(AC151*(1+AE151)/'Настройки цен'!$B$6,0)*'Настройки цен'!$B$6)</f>
        <v/>
      </c>
      <c r="AG151" s="12" t="str">
        <f aca="false">IF(OR(AC151="",H151=""),"",H151/AC151-1)</f>
        <v/>
      </c>
      <c r="AH151" s="7"/>
    </row>
    <row r="152" customFormat="false" ht="15.75" hidden="false" customHeight="true" outlineLevel="0" collapsed="false">
      <c r="A152" s="3" t="n">
        <v>53121701200</v>
      </c>
      <c r="B152" s="3" t="s">
        <v>310</v>
      </c>
      <c r="D152" s="3" t="s">
        <v>242</v>
      </c>
      <c r="E152" s="3" t="s">
        <v>55</v>
      </c>
      <c r="F152" s="4"/>
      <c r="G152" s="5"/>
      <c r="H152" s="5" t="n">
        <v>20000</v>
      </c>
      <c r="I152" s="3" t="n">
        <v>1</v>
      </c>
      <c r="K152" s="6" t="n">
        <f aca="false">I152-J152</f>
        <v>1</v>
      </c>
      <c r="L152" s="5" t="n">
        <f aca="false">K152*H152</f>
        <v>20000</v>
      </c>
      <c r="M152" s="5" t="n">
        <f aca="false">IF(A152="","",H152*J152)</f>
        <v>0</v>
      </c>
      <c r="N152" s="5" t="n">
        <f aca="false">IF(A152="","",G152*J152)</f>
        <v>0</v>
      </c>
      <c r="O152" s="5" t="n">
        <f aca="false">IF(A152="","",M152-N152)</f>
        <v>0</v>
      </c>
      <c r="Q152" s="7" t="s">
        <v>311</v>
      </c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7" t="n">
        <f aca="false">SUMPRODUCT(--(R152:AA152&gt;0),'Настройки цен'!$B$12:$K$12)</f>
        <v>0</v>
      </c>
      <c r="AC152" s="9" t="str">
        <f aca="false">IF(AB152=0,"",SUMPRODUCT(R152:AA152,'Настройки цен'!$B$11:$K$11,'Настройки цен'!$B$12:$K$12)/AB152)</f>
        <v/>
      </c>
      <c r="AD152" s="10"/>
      <c r="AE152" s="11" t="n">
        <f aca="false">IF(AD152&lt;&gt;"",AD152,IFERROR(IF(INDEX('Настройки цен'!$B$17:$B$24,MATCH(E152,'Настройки цен'!$A$17:$A$24,0))="",'Настройки цен'!$B$5,INDEX('Настройки цен'!$B$17:$B$24,MATCH(E152,'Настройки цен'!$A$17:$A$24,0))),'Настройки цен'!$B$5))</f>
        <v>0</v>
      </c>
      <c r="AF152" s="9" t="str">
        <f aca="false">IF(AC152="","",ROUND(AC152*(1+AE152)/'Настройки цен'!$B$6,0)*'Настройки цен'!$B$6)</f>
        <v/>
      </c>
      <c r="AG152" s="12" t="str">
        <f aca="false">IF(OR(AC152="",H152=""),"",H152/AC152-1)</f>
        <v/>
      </c>
      <c r="AH152" s="7"/>
    </row>
    <row r="153" customFormat="false" ht="15.75" hidden="false" customHeight="true" outlineLevel="0" collapsed="false">
      <c r="A153" s="3" t="n">
        <v>37411802105</v>
      </c>
      <c r="B153" s="3" t="s">
        <v>312</v>
      </c>
      <c r="D153" s="3" t="s">
        <v>41</v>
      </c>
      <c r="E153" s="3" t="s">
        <v>55</v>
      </c>
      <c r="F153" s="4"/>
      <c r="G153" s="5"/>
      <c r="H153" s="5" t="n">
        <v>4000</v>
      </c>
      <c r="I153" s="3" t="n">
        <v>1</v>
      </c>
      <c r="K153" s="6" t="n">
        <f aca="false">I153-J153</f>
        <v>1</v>
      </c>
      <c r="L153" s="5" t="n">
        <f aca="false">K153*H153</f>
        <v>4000</v>
      </c>
      <c r="M153" s="5" t="n">
        <f aca="false">IF(A153="","",H153*J153)</f>
        <v>0</v>
      </c>
      <c r="N153" s="5" t="n">
        <f aca="false">IF(A153="","",G153*J153)</f>
        <v>0</v>
      </c>
      <c r="O153" s="5" t="n">
        <f aca="false">IF(A153="","",M153-N153)</f>
        <v>0</v>
      </c>
      <c r="Q153" s="7" t="s">
        <v>313</v>
      </c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7" t="n">
        <f aca="false">SUMPRODUCT(--(R153:AA153&gt;0),'Настройки цен'!$B$12:$K$12)</f>
        <v>0</v>
      </c>
      <c r="AC153" s="9" t="str">
        <f aca="false">IF(AB153=0,"",SUMPRODUCT(R153:AA153,'Настройки цен'!$B$11:$K$11,'Настройки цен'!$B$12:$K$12)/AB153)</f>
        <v/>
      </c>
      <c r="AD153" s="10"/>
      <c r="AE153" s="11" t="n">
        <f aca="false">IF(AD153&lt;&gt;"",AD153,IFERROR(IF(INDEX('Настройки цен'!$B$17:$B$24,MATCH(E153,'Настройки цен'!$A$17:$A$24,0))="",'Настройки цен'!$B$5,INDEX('Настройки цен'!$B$17:$B$24,MATCH(E153,'Настройки цен'!$A$17:$A$24,0))),'Настройки цен'!$B$5))</f>
        <v>0</v>
      </c>
      <c r="AF153" s="9" t="str">
        <f aca="false">IF(AC153="","",ROUND(AC153*(1+AE153)/'Настройки цен'!$B$6,0)*'Настройки цен'!$B$6)</f>
        <v/>
      </c>
      <c r="AG153" s="12" t="str">
        <f aca="false">IF(OR(AC153="",H153=""),"",H153/AC153-1)</f>
        <v/>
      </c>
      <c r="AH153" s="7"/>
    </row>
    <row r="154" customFormat="false" ht="15.75" hidden="false" customHeight="true" outlineLevel="0" collapsed="false">
      <c r="A154" s="3" t="n">
        <v>31621802054</v>
      </c>
      <c r="B154" s="3" t="s">
        <v>314</v>
      </c>
      <c r="D154" s="3" t="s">
        <v>41</v>
      </c>
      <c r="E154" s="3" t="s">
        <v>55</v>
      </c>
      <c r="F154" s="4"/>
      <c r="G154" s="5"/>
      <c r="H154" s="5" t="n">
        <v>30000</v>
      </c>
      <c r="I154" s="3" t="n">
        <v>3</v>
      </c>
      <c r="K154" s="6" t="n">
        <f aca="false">I154-J154</f>
        <v>3</v>
      </c>
      <c r="L154" s="5" t="n">
        <f aca="false">K154*H154</f>
        <v>90000</v>
      </c>
      <c r="M154" s="5" t="n">
        <f aca="false">IF(A154="","",H154*J154)</f>
        <v>0</v>
      </c>
      <c r="N154" s="5" t="n">
        <f aca="false">IF(A154="","",G154*J154)</f>
        <v>0</v>
      </c>
      <c r="O154" s="5" t="n">
        <f aca="false">IF(A154="","",M154-N154)</f>
        <v>0</v>
      </c>
      <c r="Q154" s="7" t="s">
        <v>315</v>
      </c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7" t="n">
        <f aca="false">SUMPRODUCT(--(R154:AA154&gt;0),'Настройки цен'!$B$12:$K$12)</f>
        <v>0</v>
      </c>
      <c r="AC154" s="9" t="str">
        <f aca="false">IF(AB154=0,"",SUMPRODUCT(R154:AA154,'Настройки цен'!$B$11:$K$11,'Настройки цен'!$B$12:$K$12)/AB154)</f>
        <v/>
      </c>
      <c r="AD154" s="10"/>
      <c r="AE154" s="11" t="n">
        <f aca="false">IF(AD154&lt;&gt;"",AD154,IFERROR(IF(INDEX('Настройки цен'!$B$17:$B$24,MATCH(E154,'Настройки цен'!$A$17:$A$24,0))="",'Настройки цен'!$B$5,INDEX('Настройки цен'!$B$17:$B$24,MATCH(E154,'Настройки цен'!$A$17:$A$24,0))),'Настройки цен'!$B$5))</f>
        <v>0</v>
      </c>
      <c r="AF154" s="9" t="str">
        <f aca="false">IF(AC154="","",ROUND(AC154*(1+AE154)/'Настройки цен'!$B$6,0)*'Настройки цен'!$B$6)</f>
        <v/>
      </c>
      <c r="AG154" s="12" t="str">
        <f aca="false">IF(OR(AC154="",H154=""),"",H154/AC154-1)</f>
        <v/>
      </c>
      <c r="AH154" s="7"/>
    </row>
    <row r="155" customFormat="false" ht="15.75" hidden="false" customHeight="true" outlineLevel="0" collapsed="false">
      <c r="A155" s="3" t="n">
        <v>316200180204000</v>
      </c>
      <c r="B155" s="3" t="s">
        <v>316</v>
      </c>
      <c r="D155" s="3" t="s">
        <v>41</v>
      </c>
      <c r="E155" s="3" t="s">
        <v>55</v>
      </c>
      <c r="F155" s="4"/>
      <c r="G155" s="5"/>
      <c r="H155" s="5" t="n">
        <v>15000</v>
      </c>
      <c r="I155" s="3" t="n">
        <v>3</v>
      </c>
      <c r="K155" s="6" t="n">
        <f aca="false">I155-J155</f>
        <v>3</v>
      </c>
      <c r="L155" s="5" t="n">
        <f aca="false">K155*H155</f>
        <v>45000</v>
      </c>
      <c r="M155" s="5" t="n">
        <f aca="false">IF(A155="","",H155*J155)</f>
        <v>0</v>
      </c>
      <c r="N155" s="5" t="n">
        <f aca="false">IF(A155="","",G155*J155)</f>
        <v>0</v>
      </c>
      <c r="O155" s="5" t="n">
        <f aca="false">IF(A155="","",M155-N155)</f>
        <v>0</v>
      </c>
      <c r="Q155" s="7" t="s">
        <v>317</v>
      </c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7" t="n">
        <f aca="false">SUMPRODUCT(--(R155:AA155&gt;0),'Настройки цен'!$B$12:$K$12)</f>
        <v>0</v>
      </c>
      <c r="AC155" s="9" t="str">
        <f aca="false">IF(AB155=0,"",SUMPRODUCT(R155:AA155,'Настройки цен'!$B$11:$K$11,'Настройки цен'!$B$12:$K$12)/AB155)</f>
        <v/>
      </c>
      <c r="AD155" s="10"/>
      <c r="AE155" s="11" t="n">
        <f aca="false">IF(AD155&lt;&gt;"",AD155,IFERROR(IF(INDEX('Настройки цен'!$B$17:$B$24,MATCH(E155,'Настройки цен'!$A$17:$A$24,0))="",'Настройки цен'!$B$5,INDEX('Настройки цен'!$B$17:$B$24,MATCH(E155,'Настройки цен'!$A$17:$A$24,0))),'Настройки цен'!$B$5))</f>
        <v>0</v>
      </c>
      <c r="AF155" s="9" t="str">
        <f aca="false">IF(AC155="","",ROUND(AC155*(1+AE155)/'Настройки цен'!$B$6,0)*'Настройки цен'!$B$6)</f>
        <v/>
      </c>
      <c r="AG155" s="12" t="str">
        <f aca="false">IF(OR(AC155="",H155=""),"",H155/AC155-1)</f>
        <v/>
      </c>
      <c r="AH155" s="7"/>
    </row>
    <row r="156" customFormat="false" ht="15.75" hidden="false" customHeight="true" outlineLevel="0" collapsed="false">
      <c r="A156" s="3" t="n">
        <v>4691701126</v>
      </c>
      <c r="B156" s="3" t="s">
        <v>265</v>
      </c>
      <c r="D156" s="3" t="s">
        <v>41</v>
      </c>
      <c r="E156" s="3" t="s">
        <v>55</v>
      </c>
      <c r="F156" s="4"/>
      <c r="G156" s="5"/>
      <c r="H156" s="5" t="n">
        <v>15000</v>
      </c>
      <c r="I156" s="3" t="n">
        <v>3</v>
      </c>
      <c r="K156" s="6" t="n">
        <f aca="false">I156-J156</f>
        <v>3</v>
      </c>
      <c r="L156" s="5" t="n">
        <f aca="false">K156*H156</f>
        <v>45000</v>
      </c>
      <c r="M156" s="5" t="n">
        <f aca="false">IF(A156="","",H156*J156)</f>
        <v>0</v>
      </c>
      <c r="N156" s="5" t="n">
        <f aca="false">IF(A156="","",G156*J156)</f>
        <v>0</v>
      </c>
      <c r="O156" s="5" t="n">
        <f aca="false">IF(A156="","",M156-N156)</f>
        <v>0</v>
      </c>
      <c r="Q156" s="7" t="s">
        <v>318</v>
      </c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7" t="n">
        <f aca="false">SUMPRODUCT(--(R156:AA156&gt;0),'Настройки цен'!$B$12:$K$12)</f>
        <v>0</v>
      </c>
      <c r="AC156" s="9" t="str">
        <f aca="false">IF(AB156=0,"",SUMPRODUCT(R156:AA156,'Настройки цен'!$B$11:$K$11,'Настройки цен'!$B$12:$K$12)/AB156)</f>
        <v/>
      </c>
      <c r="AD156" s="10"/>
      <c r="AE156" s="11" t="n">
        <f aca="false">IF(AD156&lt;&gt;"",AD156,IFERROR(IF(INDEX('Настройки цен'!$B$17:$B$24,MATCH(E156,'Настройки цен'!$A$17:$A$24,0))="",'Настройки цен'!$B$5,INDEX('Настройки цен'!$B$17:$B$24,MATCH(E156,'Настройки цен'!$A$17:$A$24,0))),'Настройки цен'!$B$5))</f>
        <v>0</v>
      </c>
      <c r="AF156" s="9" t="str">
        <f aca="false">IF(AC156="","",ROUND(AC156*(1+AE156)/'Настройки цен'!$B$6,0)*'Настройки цен'!$B$6)</f>
        <v/>
      </c>
      <c r="AG156" s="12" t="str">
        <f aca="false">IF(OR(AC156="",H156=""),"",H156/AC156-1)</f>
        <v/>
      </c>
      <c r="AH156" s="7"/>
    </row>
    <row r="157" customFormat="false" ht="15.75" hidden="false" customHeight="true" outlineLevel="0" collapsed="false">
      <c r="A157" s="3" t="n">
        <v>3102901701128</v>
      </c>
      <c r="B157" s="3" t="s">
        <v>319</v>
      </c>
      <c r="D157" s="3" t="s">
        <v>66</v>
      </c>
      <c r="E157" s="3" t="s">
        <v>55</v>
      </c>
      <c r="F157" s="4"/>
      <c r="G157" s="5"/>
      <c r="H157" s="5" t="n">
        <v>10000</v>
      </c>
      <c r="I157" s="3" t="n">
        <v>2</v>
      </c>
      <c r="K157" s="6" t="n">
        <f aca="false">I157-J157</f>
        <v>2</v>
      </c>
      <c r="L157" s="5" t="n">
        <f aca="false">K157*H157</f>
        <v>20000</v>
      </c>
      <c r="M157" s="5" t="n">
        <f aca="false">IF(A157="","",H157*J157)</f>
        <v>0</v>
      </c>
      <c r="N157" s="5" t="n">
        <f aca="false">IF(A157="","",G157*J157)</f>
        <v>0</v>
      </c>
      <c r="O157" s="5" t="n">
        <f aca="false">IF(A157="","",M157-N157)</f>
        <v>0</v>
      </c>
      <c r="Q157" s="7" t="s">
        <v>320</v>
      </c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7" t="n">
        <f aca="false">SUMPRODUCT(--(R157:AA157&gt;0),'Настройки цен'!$B$12:$K$12)</f>
        <v>0</v>
      </c>
      <c r="AC157" s="9" t="str">
        <f aca="false">IF(AB157=0,"",SUMPRODUCT(R157:AA157,'Настройки цен'!$B$11:$K$11,'Настройки цен'!$B$12:$K$12)/AB157)</f>
        <v/>
      </c>
      <c r="AD157" s="10"/>
      <c r="AE157" s="11" t="n">
        <f aca="false">IF(AD157&lt;&gt;"",AD157,IFERROR(IF(INDEX('Настройки цен'!$B$17:$B$24,MATCH(E157,'Настройки цен'!$A$17:$A$24,0))="",'Настройки цен'!$B$5,INDEX('Настройки цен'!$B$17:$B$24,MATCH(E157,'Настройки цен'!$A$17:$A$24,0))),'Настройки цен'!$B$5))</f>
        <v>0</v>
      </c>
      <c r="AF157" s="9" t="str">
        <f aca="false">IF(AC157="","",ROUND(AC157*(1+AE157)/'Настройки цен'!$B$6,0)*'Настройки цен'!$B$6)</f>
        <v/>
      </c>
      <c r="AG157" s="12" t="str">
        <f aca="false">IF(OR(AC157="",H157=""),"",H157/AC157-1)</f>
        <v/>
      </c>
      <c r="AH157" s="7"/>
    </row>
    <row r="158" customFormat="false" ht="15.75" hidden="false" customHeight="true" outlineLevel="0" collapsed="false">
      <c r="A158" s="3" t="n">
        <v>4171003020</v>
      </c>
      <c r="B158" s="3" t="s">
        <v>321</v>
      </c>
      <c r="D158" s="3" t="s">
        <v>273</v>
      </c>
      <c r="E158" s="3" t="s">
        <v>70</v>
      </c>
      <c r="F158" s="4"/>
      <c r="G158" s="5"/>
      <c r="H158" s="5" t="n">
        <v>6000</v>
      </c>
      <c r="I158" s="3" t="n">
        <v>18</v>
      </c>
      <c r="K158" s="6" t="n">
        <f aca="false">I158-J158</f>
        <v>18</v>
      </c>
      <c r="L158" s="5" t="n">
        <f aca="false">K158*H158</f>
        <v>108000</v>
      </c>
      <c r="M158" s="5" t="n">
        <f aca="false">IF(A158="","",H158*J158)</f>
        <v>0</v>
      </c>
      <c r="N158" s="5" t="n">
        <f aca="false">IF(A158="","",G158*J158)</f>
        <v>0</v>
      </c>
      <c r="O158" s="5" t="n">
        <f aca="false">IF(A158="","",M158-N158)</f>
        <v>0</v>
      </c>
      <c r="Q158" s="7" t="s">
        <v>322</v>
      </c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7" t="n">
        <f aca="false">SUMPRODUCT(--(R158:AA158&gt;0),'Настройки цен'!$B$12:$K$12)</f>
        <v>0</v>
      </c>
      <c r="AC158" s="9" t="str">
        <f aca="false">IF(AB158=0,"",SUMPRODUCT(R158:AA158,'Настройки цен'!$B$11:$K$11,'Настройки цен'!$B$12:$K$12)/AB158)</f>
        <v/>
      </c>
      <c r="AD158" s="10"/>
      <c r="AE158" s="11" t="n">
        <f aca="false">IF(AD158&lt;&gt;"",AD158,IFERROR(IF(INDEX('Настройки цен'!$B$17:$B$24,MATCH(E158,'Настройки цен'!$A$17:$A$24,0))="",'Настройки цен'!$B$5,INDEX('Настройки цен'!$B$17:$B$24,MATCH(E158,'Настройки цен'!$A$17:$A$24,0))),'Настройки цен'!$B$5))</f>
        <v>0</v>
      </c>
      <c r="AF158" s="9" t="str">
        <f aca="false">IF(AC158="","",ROUND(AC158*(1+AE158)/'Настройки цен'!$B$6,0)*'Настройки цен'!$B$6)</f>
        <v/>
      </c>
      <c r="AG158" s="12" t="str">
        <f aca="false">IF(OR(AC158="",H158=""),"",H158/AC158-1)</f>
        <v/>
      </c>
      <c r="AH158" s="7"/>
    </row>
    <row r="159" customFormat="false" ht="15.75" hidden="false" customHeight="true" outlineLevel="0" collapsed="false">
      <c r="A159" s="3" t="n">
        <v>4171000150</v>
      </c>
      <c r="B159" s="3" t="s">
        <v>323</v>
      </c>
      <c r="D159" s="3" t="s">
        <v>273</v>
      </c>
      <c r="E159" s="3" t="s">
        <v>70</v>
      </c>
      <c r="F159" s="4"/>
      <c r="G159" s="5"/>
      <c r="H159" s="5" t="n">
        <v>15000</v>
      </c>
      <c r="I159" s="3" t="n">
        <v>1</v>
      </c>
      <c r="K159" s="6" t="n">
        <f aca="false">I159-J159</f>
        <v>1</v>
      </c>
      <c r="L159" s="5" t="n">
        <f aca="false">K159*H159</f>
        <v>15000</v>
      </c>
      <c r="M159" s="5" t="n">
        <f aca="false">IF(A159="","",H159*J159)</f>
        <v>0</v>
      </c>
      <c r="N159" s="5" t="n">
        <f aca="false">IF(A159="","",G159*J159)</f>
        <v>0</v>
      </c>
      <c r="O159" s="5" t="n">
        <f aca="false">IF(A159="","",M159-N159)</f>
        <v>0</v>
      </c>
      <c r="Q159" s="7" t="s">
        <v>324</v>
      </c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7" t="n">
        <f aca="false">SUMPRODUCT(--(R159:AA159&gt;0),'Настройки цен'!$B$12:$K$12)</f>
        <v>0</v>
      </c>
      <c r="AC159" s="9" t="str">
        <f aca="false">IF(AB159=0,"",SUMPRODUCT(R159:AA159,'Настройки цен'!$B$11:$K$11,'Настройки цен'!$B$12:$K$12)/AB159)</f>
        <v/>
      </c>
      <c r="AD159" s="10"/>
      <c r="AE159" s="11" t="n">
        <f aca="false">IF(AD159&lt;&gt;"",AD159,IFERROR(IF(INDEX('Настройки цен'!$B$17:$B$24,MATCH(E159,'Настройки цен'!$A$17:$A$24,0))="",'Настройки цен'!$B$5,INDEX('Настройки цен'!$B$17:$B$24,MATCH(E159,'Настройки цен'!$A$17:$A$24,0))),'Настройки цен'!$B$5))</f>
        <v>0</v>
      </c>
      <c r="AF159" s="9" t="str">
        <f aca="false">IF(AC159="","",ROUND(AC159*(1+AE159)/'Настройки цен'!$B$6,0)*'Настройки цен'!$B$6)</f>
        <v/>
      </c>
      <c r="AG159" s="12" t="str">
        <f aca="false">IF(OR(AC159="",H159=""),"",H159/AC159-1)</f>
        <v/>
      </c>
      <c r="AH159" s="7"/>
    </row>
    <row r="160" customFormat="false" ht="15.75" hidden="false" customHeight="true" outlineLevel="0" collapsed="false">
      <c r="A160" s="3" t="n">
        <v>661003020</v>
      </c>
      <c r="B160" s="3" t="s">
        <v>325</v>
      </c>
      <c r="D160" s="3" t="s">
        <v>242</v>
      </c>
      <c r="E160" s="3" t="s">
        <v>70</v>
      </c>
      <c r="F160" s="4"/>
      <c r="G160" s="5"/>
      <c r="H160" s="5" t="n">
        <v>4000</v>
      </c>
      <c r="I160" s="3" t="n">
        <v>9</v>
      </c>
      <c r="K160" s="6" t="n">
        <f aca="false">I160-J160</f>
        <v>9</v>
      </c>
      <c r="L160" s="5" t="n">
        <f aca="false">K160*H160</f>
        <v>36000</v>
      </c>
      <c r="M160" s="5" t="n">
        <f aca="false">IF(A160="","",H160*J160)</f>
        <v>0</v>
      </c>
      <c r="N160" s="5" t="n">
        <f aca="false">IF(A160="","",G160*J160)</f>
        <v>0</v>
      </c>
      <c r="O160" s="5" t="n">
        <f aca="false">IF(A160="","",M160-N160)</f>
        <v>0</v>
      </c>
      <c r="Q160" s="7" t="s">
        <v>326</v>
      </c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7" t="n">
        <f aca="false">SUMPRODUCT(--(R160:AA160&gt;0),'Настройки цен'!$B$12:$K$12)</f>
        <v>0</v>
      </c>
      <c r="AC160" s="9" t="str">
        <f aca="false">IF(AB160=0,"",SUMPRODUCT(R160:AA160,'Настройки цен'!$B$11:$K$11,'Настройки цен'!$B$12:$K$12)/AB160)</f>
        <v/>
      </c>
      <c r="AD160" s="10"/>
      <c r="AE160" s="11" t="n">
        <f aca="false">IF(AD160&lt;&gt;"",AD160,IFERROR(IF(INDEX('Настройки цен'!$B$17:$B$24,MATCH(E160,'Настройки цен'!$A$17:$A$24,0))="",'Настройки цен'!$B$5,INDEX('Настройки цен'!$B$17:$B$24,MATCH(E160,'Настройки цен'!$A$17:$A$24,0))),'Настройки цен'!$B$5))</f>
        <v>0</v>
      </c>
      <c r="AF160" s="9" t="str">
        <f aca="false">IF(AC160="","",ROUND(AC160*(1+AE160)/'Настройки цен'!$B$6,0)*'Настройки цен'!$B$6)</f>
        <v/>
      </c>
      <c r="AG160" s="12" t="str">
        <f aca="false">IF(OR(AC160="",H160=""),"",H160/AC160-1)</f>
        <v/>
      </c>
      <c r="AH160" s="7"/>
    </row>
    <row r="161" customFormat="false" ht="15.75" hidden="false" customHeight="true" outlineLevel="0" collapsed="false">
      <c r="A161" s="3" t="n">
        <v>211008080</v>
      </c>
      <c r="B161" s="3" t="s">
        <v>327</v>
      </c>
      <c r="D161" s="3" t="s">
        <v>273</v>
      </c>
      <c r="E161" s="3" t="s">
        <v>70</v>
      </c>
      <c r="F161" s="4"/>
      <c r="G161" s="5"/>
      <c r="H161" s="5" t="n">
        <v>2000</v>
      </c>
      <c r="I161" s="3" t="n">
        <v>6</v>
      </c>
      <c r="K161" s="6" t="n">
        <f aca="false">I161-J161</f>
        <v>6</v>
      </c>
      <c r="L161" s="5" t="n">
        <f aca="false">K161*H161</f>
        <v>12000</v>
      </c>
      <c r="M161" s="5" t="n">
        <f aca="false">IF(A161="","",H161*J161)</f>
        <v>0</v>
      </c>
      <c r="N161" s="5" t="n">
        <f aca="false">IF(A161="","",G161*J161)</f>
        <v>0</v>
      </c>
      <c r="O161" s="5" t="n">
        <f aca="false">IF(A161="","",M161-N161)</f>
        <v>0</v>
      </c>
      <c r="Q161" s="7" t="s">
        <v>328</v>
      </c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7" t="n">
        <f aca="false">SUMPRODUCT(--(R161:AA161&gt;0),'Настройки цен'!$B$12:$K$12)</f>
        <v>0</v>
      </c>
      <c r="AC161" s="9" t="str">
        <f aca="false">IF(AB161=0,"",SUMPRODUCT(R161:AA161,'Настройки цен'!$B$11:$K$11,'Настройки цен'!$B$12:$K$12)/AB161)</f>
        <v/>
      </c>
      <c r="AD161" s="10"/>
      <c r="AE161" s="11" t="n">
        <f aca="false">IF(AD161&lt;&gt;"",AD161,IFERROR(IF(INDEX('Настройки цен'!$B$17:$B$24,MATCH(E161,'Настройки цен'!$A$17:$A$24,0))="",'Настройки цен'!$B$5,INDEX('Настройки цен'!$B$17:$B$24,MATCH(E161,'Настройки цен'!$A$17:$A$24,0))),'Настройки цен'!$B$5))</f>
        <v>0</v>
      </c>
      <c r="AF161" s="9" t="str">
        <f aca="false">IF(AC161="","",ROUND(AC161*(1+AE161)/'Настройки цен'!$B$6,0)*'Настройки цен'!$B$6)</f>
        <v/>
      </c>
      <c r="AG161" s="12" t="str">
        <f aca="false">IF(OR(AC161="",H161=""),"",H161/AC161-1)</f>
        <v/>
      </c>
      <c r="AH161" s="7"/>
    </row>
    <row r="162" customFormat="false" ht="15.75" hidden="false" customHeight="true" outlineLevel="0" collapsed="false">
      <c r="A162" s="3" t="n">
        <v>241008080</v>
      </c>
      <c r="B162" s="3" t="s">
        <v>329</v>
      </c>
      <c r="D162" s="3" t="s">
        <v>273</v>
      </c>
      <c r="E162" s="3" t="s">
        <v>70</v>
      </c>
      <c r="F162" s="4"/>
      <c r="G162" s="5"/>
      <c r="H162" s="5" t="n">
        <v>2000</v>
      </c>
      <c r="I162" s="3" t="n">
        <v>3</v>
      </c>
      <c r="K162" s="6" t="n">
        <f aca="false">I162-J162</f>
        <v>3</v>
      </c>
      <c r="L162" s="5" t="n">
        <f aca="false">K162*H162</f>
        <v>6000</v>
      </c>
      <c r="M162" s="5" t="n">
        <f aca="false">IF(A162="","",H162*J162)</f>
        <v>0</v>
      </c>
      <c r="N162" s="5" t="n">
        <f aca="false">IF(A162="","",G162*J162)</f>
        <v>0</v>
      </c>
      <c r="O162" s="5" t="n">
        <f aca="false">IF(A162="","",M162-N162)</f>
        <v>0</v>
      </c>
      <c r="Q162" s="7" t="s">
        <v>330</v>
      </c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7" t="n">
        <f aca="false">SUMPRODUCT(--(R162:AA162&gt;0),'Настройки цен'!$B$12:$K$12)</f>
        <v>0</v>
      </c>
      <c r="AC162" s="9" t="str">
        <f aca="false">IF(AB162=0,"",SUMPRODUCT(R162:AA162,'Настройки цен'!$B$11:$K$11,'Настройки цен'!$B$12:$K$12)/AB162)</f>
        <v/>
      </c>
      <c r="AD162" s="10"/>
      <c r="AE162" s="11" t="n">
        <f aca="false">IF(AD162&lt;&gt;"",AD162,IFERROR(IF(INDEX('Настройки цен'!$B$17:$B$24,MATCH(E162,'Настройки цен'!$A$17:$A$24,0))="",'Настройки цен'!$B$5,INDEX('Настройки цен'!$B$17:$B$24,MATCH(E162,'Настройки цен'!$A$17:$A$24,0))),'Настройки цен'!$B$5))</f>
        <v>0</v>
      </c>
      <c r="AF162" s="9" t="str">
        <f aca="false">IF(AC162="","",ROUND(AC162*(1+AE162)/'Настройки цен'!$B$6,0)*'Настройки цен'!$B$6)</f>
        <v/>
      </c>
      <c r="AG162" s="12" t="str">
        <f aca="false">IF(OR(AC162="",H162=""),"",H162/AC162-1)</f>
        <v/>
      </c>
      <c r="AH162" s="7"/>
    </row>
    <row r="163" customFormat="false" ht="15.75" hidden="false" customHeight="true" outlineLevel="0" collapsed="false">
      <c r="A163" s="3" t="n">
        <v>4171000150</v>
      </c>
      <c r="B163" s="3" t="s">
        <v>331</v>
      </c>
      <c r="D163" s="3" t="s">
        <v>273</v>
      </c>
      <c r="E163" s="3" t="s">
        <v>70</v>
      </c>
      <c r="F163" s="4"/>
      <c r="G163" s="5"/>
      <c r="H163" s="5" t="n">
        <v>1000</v>
      </c>
      <c r="I163" s="3" t="n">
        <v>6</v>
      </c>
      <c r="K163" s="6" t="n">
        <f aca="false">I163-J163</f>
        <v>6</v>
      </c>
      <c r="L163" s="5" t="n">
        <f aca="false">K163*H163</f>
        <v>6000</v>
      </c>
      <c r="M163" s="5" t="n">
        <f aca="false">IF(A163="","",H163*J163)</f>
        <v>0</v>
      </c>
      <c r="N163" s="5" t="n">
        <f aca="false">IF(A163="","",G163*J163)</f>
        <v>0</v>
      </c>
      <c r="O163" s="5" t="n">
        <f aca="false">IF(A163="","",M163-N163)</f>
        <v>0</v>
      </c>
      <c r="Q163" s="7" t="s">
        <v>324</v>
      </c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7" t="n">
        <f aca="false">SUMPRODUCT(--(R163:AA163&gt;0),'Настройки цен'!$B$12:$K$12)</f>
        <v>0</v>
      </c>
      <c r="AC163" s="9" t="str">
        <f aca="false">IF(AB163=0,"",SUMPRODUCT(R163:AA163,'Настройки цен'!$B$11:$K$11,'Настройки цен'!$B$12:$K$12)/AB163)</f>
        <v/>
      </c>
      <c r="AD163" s="10"/>
      <c r="AE163" s="11" t="n">
        <f aca="false">IF(AD163&lt;&gt;"",AD163,IFERROR(IF(INDEX('Настройки цен'!$B$17:$B$24,MATCH(E163,'Настройки цен'!$A$17:$A$24,0))="",'Настройки цен'!$B$5,INDEX('Настройки цен'!$B$17:$B$24,MATCH(E163,'Настройки цен'!$A$17:$A$24,0))),'Настройки цен'!$B$5))</f>
        <v>0</v>
      </c>
      <c r="AF163" s="9" t="str">
        <f aca="false">IF(AC163="","",ROUND(AC163*(1+AE163)/'Настройки цен'!$B$6,0)*'Настройки цен'!$B$6)</f>
        <v/>
      </c>
      <c r="AG163" s="12" t="str">
        <f aca="false">IF(OR(AC163="",H163=""),"",H163/AC163-1)</f>
        <v/>
      </c>
      <c r="AH163" s="7"/>
    </row>
    <row r="164" customFormat="false" ht="15.75" hidden="false" customHeight="true" outlineLevel="0" collapsed="false">
      <c r="A164" s="3" t="n">
        <v>315100120308800</v>
      </c>
      <c r="B164" s="3" t="s">
        <v>332</v>
      </c>
      <c r="D164" s="3" t="s">
        <v>273</v>
      </c>
      <c r="E164" s="3" t="s">
        <v>70</v>
      </c>
      <c r="F164" s="4"/>
      <c r="G164" s="5"/>
      <c r="H164" s="5" t="n">
        <v>1000</v>
      </c>
      <c r="I164" s="3" t="n">
        <v>13</v>
      </c>
      <c r="K164" s="6" t="n">
        <f aca="false">I164-J164</f>
        <v>13</v>
      </c>
      <c r="L164" s="5" t="n">
        <f aca="false">K164*H164</f>
        <v>13000</v>
      </c>
      <c r="M164" s="5" t="n">
        <f aca="false">IF(A164="","",H164*J164)</f>
        <v>0</v>
      </c>
      <c r="N164" s="5" t="n">
        <f aca="false">IF(A164="","",G164*J164)</f>
        <v>0</v>
      </c>
      <c r="O164" s="5" t="n">
        <f aca="false">IF(A164="","",M164-N164)</f>
        <v>0</v>
      </c>
      <c r="Q164" s="7" t="s">
        <v>333</v>
      </c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7" t="n">
        <f aca="false">SUMPRODUCT(--(R164:AA164&gt;0),'Настройки цен'!$B$12:$K$12)</f>
        <v>0</v>
      </c>
      <c r="AC164" s="9" t="str">
        <f aca="false">IF(AB164=0,"",SUMPRODUCT(R164:AA164,'Настройки цен'!$B$11:$K$11,'Настройки цен'!$B$12:$K$12)/AB164)</f>
        <v/>
      </c>
      <c r="AD164" s="10"/>
      <c r="AE164" s="11" t="n">
        <f aca="false">IF(AD164&lt;&gt;"",AD164,IFERROR(IF(INDEX('Настройки цен'!$B$17:$B$24,MATCH(E164,'Настройки цен'!$A$17:$A$24,0))="",'Настройки цен'!$B$5,INDEX('Настройки цен'!$B$17:$B$24,MATCH(E164,'Настройки цен'!$A$17:$A$24,0))),'Настройки цен'!$B$5))</f>
        <v>0</v>
      </c>
      <c r="AF164" s="9" t="str">
        <f aca="false">IF(AC164="","",ROUND(AC164*(1+AE164)/'Настройки цен'!$B$6,0)*'Настройки цен'!$B$6)</f>
        <v/>
      </c>
      <c r="AG164" s="12" t="str">
        <f aca="false">IF(OR(AC164="",H164=""),"",H164/AC164-1)</f>
        <v/>
      </c>
      <c r="AH164" s="7"/>
    </row>
    <row r="165" customFormat="false" ht="15.75" hidden="false" customHeight="true" outlineLevel="0" collapsed="false">
      <c r="A165" s="3" t="n">
        <v>5245001007245</v>
      </c>
      <c r="B165" s="3" t="s">
        <v>334</v>
      </c>
      <c r="D165" s="3" t="s">
        <v>273</v>
      </c>
      <c r="E165" s="3" t="s">
        <v>70</v>
      </c>
      <c r="F165" s="4"/>
      <c r="G165" s="5"/>
      <c r="H165" s="5" t="n">
        <v>4000</v>
      </c>
      <c r="I165" s="3" t="n">
        <v>4</v>
      </c>
      <c r="K165" s="6" t="n">
        <f aca="false">I165-J165</f>
        <v>4</v>
      </c>
      <c r="L165" s="5" t="n">
        <f aca="false">K165*H165</f>
        <v>16000</v>
      </c>
      <c r="M165" s="5" t="n">
        <f aca="false">IF(A165="","",H165*J165)</f>
        <v>0</v>
      </c>
      <c r="N165" s="5" t="n">
        <f aca="false">IF(A165="","",G165*J165)</f>
        <v>0</v>
      </c>
      <c r="O165" s="5" t="n">
        <f aca="false">IF(A165="","",M165-N165)</f>
        <v>0</v>
      </c>
      <c r="Q165" s="7" t="s">
        <v>335</v>
      </c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7" t="n">
        <f aca="false">SUMPRODUCT(--(R165:AA165&gt;0),'Настройки цен'!$B$12:$K$12)</f>
        <v>0</v>
      </c>
      <c r="AC165" s="9" t="str">
        <f aca="false">IF(AB165=0,"",SUMPRODUCT(R165:AA165,'Настройки цен'!$B$11:$K$11,'Настройки цен'!$B$12:$K$12)/AB165)</f>
        <v/>
      </c>
      <c r="AD165" s="10"/>
      <c r="AE165" s="11" t="n">
        <f aca="false">IF(AD165&lt;&gt;"",AD165,IFERROR(IF(INDEX('Настройки цен'!$B$17:$B$24,MATCH(E165,'Настройки цен'!$A$17:$A$24,0))="",'Настройки цен'!$B$5,INDEX('Настройки цен'!$B$17:$B$24,MATCH(E165,'Настройки цен'!$A$17:$A$24,0))),'Настройки цен'!$B$5))</f>
        <v>0</v>
      </c>
      <c r="AF165" s="9" t="str">
        <f aca="false">IF(AC165="","",ROUND(AC165*(1+AE165)/'Настройки цен'!$B$6,0)*'Настройки цен'!$B$6)</f>
        <v/>
      </c>
      <c r="AG165" s="12" t="str">
        <f aca="false">IF(OR(AC165="",H165=""),"",H165/AC165-1)</f>
        <v/>
      </c>
      <c r="AH165" s="7"/>
    </row>
    <row r="166" customFormat="false" ht="15.75" hidden="false" customHeight="true" outlineLevel="0" collapsed="false">
      <c r="A166" s="3" t="n">
        <v>211007245</v>
      </c>
      <c r="B166" s="3" t="s">
        <v>334</v>
      </c>
      <c r="D166" s="3" t="s">
        <v>82</v>
      </c>
      <c r="E166" s="3" t="s">
        <v>70</v>
      </c>
      <c r="F166" s="4"/>
      <c r="G166" s="5"/>
      <c r="H166" s="5" t="n">
        <v>2000</v>
      </c>
      <c r="I166" s="3" t="n">
        <v>7</v>
      </c>
      <c r="K166" s="6" t="n">
        <f aca="false">I166-J166</f>
        <v>7</v>
      </c>
      <c r="L166" s="5" t="n">
        <f aca="false">K166*H166</f>
        <v>14000</v>
      </c>
      <c r="M166" s="5" t="n">
        <f aca="false">IF(A166="","",H166*J166)</f>
        <v>0</v>
      </c>
      <c r="N166" s="5" t="n">
        <f aca="false">IF(A166="","",G166*J166)</f>
        <v>0</v>
      </c>
      <c r="O166" s="5" t="n">
        <f aca="false">IF(A166="","",M166-N166)</f>
        <v>0</v>
      </c>
      <c r="Q166" s="7" t="s">
        <v>336</v>
      </c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7" t="n">
        <f aca="false">SUMPRODUCT(--(R166:AA166&gt;0),'Настройки цен'!$B$12:$K$12)</f>
        <v>0</v>
      </c>
      <c r="AC166" s="9" t="str">
        <f aca="false">IF(AB166=0,"",SUMPRODUCT(R166:AA166,'Настройки цен'!$B$11:$K$11,'Настройки цен'!$B$12:$K$12)/AB166)</f>
        <v/>
      </c>
      <c r="AD166" s="10"/>
      <c r="AE166" s="11" t="n">
        <f aca="false">IF(AD166&lt;&gt;"",AD166,IFERROR(IF(INDEX('Настройки цен'!$B$17:$B$24,MATCH(E166,'Настройки цен'!$A$17:$A$24,0))="",'Настройки цен'!$B$5,INDEX('Настройки цен'!$B$17:$B$24,MATCH(E166,'Настройки цен'!$A$17:$A$24,0))),'Настройки цен'!$B$5))</f>
        <v>0</v>
      </c>
      <c r="AF166" s="9" t="str">
        <f aca="false">IF(AC166="","",ROUND(AC166*(1+AE166)/'Настройки цен'!$B$6,0)*'Настройки цен'!$B$6)</f>
        <v/>
      </c>
      <c r="AG166" s="12" t="str">
        <f aca="false">IF(OR(AC166="",H166=""),"",H166/AC166-1)</f>
        <v/>
      </c>
      <c r="AH166" s="7"/>
    </row>
    <row r="167" customFormat="false" ht="15.75" hidden="false" customHeight="true" outlineLevel="0" collapsed="false">
      <c r="A167" s="3" t="n">
        <v>211009070</v>
      </c>
      <c r="B167" s="3" t="s">
        <v>337</v>
      </c>
      <c r="D167" s="3" t="s">
        <v>273</v>
      </c>
      <c r="E167" s="3" t="s">
        <v>70</v>
      </c>
      <c r="F167" s="4"/>
      <c r="G167" s="5"/>
      <c r="H167" s="5" t="n">
        <v>2000</v>
      </c>
      <c r="I167" s="3" t="n">
        <v>3</v>
      </c>
      <c r="K167" s="6" t="n">
        <f aca="false">I167-J167</f>
        <v>3</v>
      </c>
      <c r="L167" s="5" t="n">
        <f aca="false">K167*H167</f>
        <v>6000</v>
      </c>
      <c r="M167" s="5" t="n">
        <f aca="false">IF(A167="","",H167*J167)</f>
        <v>0</v>
      </c>
      <c r="N167" s="5" t="n">
        <f aca="false">IF(A167="","",G167*J167)</f>
        <v>0</v>
      </c>
      <c r="O167" s="5" t="n">
        <f aca="false">IF(A167="","",M167-N167)</f>
        <v>0</v>
      </c>
      <c r="Q167" s="7" t="s">
        <v>338</v>
      </c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7" t="n">
        <f aca="false">SUMPRODUCT(--(R167:AA167&gt;0),'Настройки цен'!$B$12:$K$12)</f>
        <v>0</v>
      </c>
      <c r="AC167" s="9" t="str">
        <f aca="false">IF(AB167=0,"",SUMPRODUCT(R167:AA167,'Настройки цен'!$B$11:$K$11,'Настройки цен'!$B$12:$K$12)/AB167)</f>
        <v/>
      </c>
      <c r="AD167" s="10"/>
      <c r="AE167" s="11" t="n">
        <f aca="false">IF(AD167&lt;&gt;"",AD167,IFERROR(IF(INDEX('Настройки цен'!$B$17:$B$24,MATCH(E167,'Настройки цен'!$A$17:$A$24,0))="",'Настройки цен'!$B$5,INDEX('Настройки цен'!$B$17:$B$24,MATCH(E167,'Настройки цен'!$A$17:$A$24,0))),'Настройки цен'!$B$5))</f>
        <v>0</v>
      </c>
      <c r="AF167" s="9" t="str">
        <f aca="false">IF(AC167="","",ROUND(AC167*(1+AE167)/'Настройки цен'!$B$6,0)*'Настройки цен'!$B$6)</f>
        <v/>
      </c>
      <c r="AG167" s="12" t="str">
        <f aca="false">IF(OR(AC167="",H167=""),"",H167/AC167-1)</f>
        <v/>
      </c>
      <c r="AH167" s="7"/>
    </row>
    <row r="168" customFormat="false" ht="15.75" hidden="false" customHeight="true" outlineLevel="0" collapsed="false">
      <c r="A168" s="3" t="n">
        <v>211009070</v>
      </c>
      <c r="B168" s="3" t="s">
        <v>339</v>
      </c>
      <c r="D168" s="3" t="s">
        <v>273</v>
      </c>
      <c r="E168" s="3" t="s">
        <v>70</v>
      </c>
      <c r="F168" s="4"/>
      <c r="G168" s="5"/>
      <c r="H168" s="5" t="n">
        <v>4000</v>
      </c>
      <c r="I168" s="3" t="n">
        <v>7</v>
      </c>
      <c r="K168" s="6" t="n">
        <f aca="false">I168-J168</f>
        <v>7</v>
      </c>
      <c r="L168" s="5" t="n">
        <f aca="false">K168*H168</f>
        <v>28000</v>
      </c>
      <c r="M168" s="5" t="n">
        <f aca="false">IF(A168="","",H168*J168)</f>
        <v>0</v>
      </c>
      <c r="N168" s="5" t="n">
        <f aca="false">IF(A168="","",G168*J168)</f>
        <v>0</v>
      </c>
      <c r="O168" s="5" t="n">
        <f aca="false">IF(A168="","",M168-N168)</f>
        <v>0</v>
      </c>
      <c r="Q168" s="7" t="s">
        <v>338</v>
      </c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7" t="n">
        <f aca="false">SUMPRODUCT(--(R168:AA168&gt;0),'Настройки цен'!$B$12:$K$12)</f>
        <v>0</v>
      </c>
      <c r="AC168" s="9" t="str">
        <f aca="false">IF(AB168=0,"",SUMPRODUCT(R168:AA168,'Настройки цен'!$B$11:$K$11,'Настройки цен'!$B$12:$K$12)/AB168)</f>
        <v/>
      </c>
      <c r="AD168" s="10"/>
      <c r="AE168" s="11" t="n">
        <f aca="false">IF(AD168&lt;&gt;"",AD168,IFERROR(IF(INDEX('Настройки цен'!$B$17:$B$24,MATCH(E168,'Настройки цен'!$A$17:$A$24,0))="",'Настройки цен'!$B$5,INDEX('Настройки цен'!$B$17:$B$24,MATCH(E168,'Настройки цен'!$A$17:$A$24,0))),'Настройки цен'!$B$5))</f>
        <v>0</v>
      </c>
      <c r="AF168" s="9" t="str">
        <f aca="false">IF(AC168="","",ROUND(AC168*(1+AE168)/'Настройки цен'!$B$6,0)*'Настройки цен'!$B$6)</f>
        <v/>
      </c>
      <c r="AG168" s="12" t="str">
        <f aca="false">IF(OR(AC168="",H168=""),"",H168/AC168-1)</f>
        <v/>
      </c>
      <c r="AH168" s="7"/>
    </row>
    <row r="169" customFormat="false" ht="15.75" hidden="false" customHeight="true" outlineLevel="0" collapsed="false">
      <c r="A169" s="3"/>
      <c r="B169" s="3" t="s">
        <v>340</v>
      </c>
      <c r="D169" s="3" t="s">
        <v>273</v>
      </c>
      <c r="E169" s="3" t="s">
        <v>70</v>
      </c>
      <c r="F169" s="4"/>
      <c r="G169" s="5"/>
      <c r="H169" s="5" t="n">
        <v>5000</v>
      </c>
      <c r="I169" s="3" t="n">
        <v>9</v>
      </c>
      <c r="K169" s="6" t="n">
        <f aca="false">I169-J169</f>
        <v>9</v>
      </c>
      <c r="L169" s="5" t="n">
        <f aca="false">K169*H169</f>
        <v>45000</v>
      </c>
      <c r="M169" s="5" t="str">
        <f aca="false">IF(A169="","",H169*J169)</f>
        <v/>
      </c>
      <c r="N169" s="5" t="str">
        <f aca="false">IF(A169="","",G169*J169)</f>
        <v/>
      </c>
      <c r="O169" s="5" t="str">
        <f aca="false">IF(A169="","",M169-N169)</f>
        <v/>
      </c>
      <c r="Q169" s="7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7" t="n">
        <f aca="false">SUMPRODUCT(--(R169:AA169&gt;0),'Настройки цен'!$B$12:$K$12)</f>
        <v>0</v>
      </c>
      <c r="AC169" s="9" t="str">
        <f aca="false">IF(AB169=0,"",SUMPRODUCT(R169:AA169,'Настройки цен'!$B$11:$K$11,'Настройки цен'!$B$12:$K$12)/AB169)</f>
        <v/>
      </c>
      <c r="AD169" s="10"/>
      <c r="AE169" s="11" t="n">
        <f aca="false">IF(AD169&lt;&gt;"",AD169,IFERROR(IF(INDEX('Настройки цен'!$B$17:$B$24,MATCH(E169,'Настройки цен'!$A$17:$A$24,0))="",'Настройки цен'!$B$5,INDEX('Настройки цен'!$B$17:$B$24,MATCH(E169,'Настройки цен'!$A$17:$A$24,0))),'Настройки цен'!$B$5))</f>
        <v>0</v>
      </c>
      <c r="AF169" s="9" t="str">
        <f aca="false">IF(AC169="","",ROUND(AC169*(1+AE169)/'Настройки цен'!$B$6,0)*'Настройки цен'!$B$6)</f>
        <v/>
      </c>
      <c r="AG169" s="12" t="str">
        <f aca="false">IF(OR(AC169="",H169=""),"",H169/AC169-1)</f>
        <v/>
      </c>
      <c r="AH169" s="7"/>
    </row>
    <row r="170" customFormat="false" ht="15.75" hidden="false" customHeight="true" outlineLevel="0" collapsed="false">
      <c r="B170" s="3" t="s">
        <v>341</v>
      </c>
      <c r="E170" s="3" t="s">
        <v>70</v>
      </c>
      <c r="F170" s="4"/>
      <c r="G170" s="5"/>
      <c r="H170" s="5" t="n">
        <v>500</v>
      </c>
      <c r="I170" s="3" t="n">
        <v>15</v>
      </c>
      <c r="K170" s="6" t="n">
        <f aca="false">I170-J170</f>
        <v>15</v>
      </c>
      <c r="L170" s="5" t="n">
        <f aca="false">K170*H170</f>
        <v>7500</v>
      </c>
      <c r="M170" s="5" t="str">
        <f aca="false">IF(A170="","",H170*J170)</f>
        <v/>
      </c>
      <c r="N170" s="5" t="str">
        <f aca="false">IF(A170="","",G170*J170)</f>
        <v/>
      </c>
      <c r="O170" s="5" t="str">
        <f aca="false">IF(A170="","",M170-N170)</f>
        <v/>
      </c>
      <c r="Q170" s="7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7" t="n">
        <f aca="false">SUMPRODUCT(--(R170:AA170&gt;0),'Настройки цен'!$B$12:$K$12)</f>
        <v>0</v>
      </c>
      <c r="AC170" s="9" t="str">
        <f aca="false">IF(AB170=0,"",SUMPRODUCT(R170:AA170,'Настройки цен'!$B$11:$K$11,'Настройки цен'!$B$12:$K$12)/AB170)</f>
        <v/>
      </c>
      <c r="AD170" s="10"/>
      <c r="AE170" s="11" t="n">
        <f aca="false">IF(AD170&lt;&gt;"",AD170,IFERROR(IF(INDEX('Настройки цен'!$B$17:$B$24,MATCH(E170,'Настройки цен'!$A$17:$A$24,0))="",'Настройки цен'!$B$5,INDEX('Настройки цен'!$B$17:$B$24,MATCH(E170,'Настройки цен'!$A$17:$A$24,0))),'Настройки цен'!$B$5))</f>
        <v>0</v>
      </c>
      <c r="AF170" s="9" t="str">
        <f aca="false">IF(AC170="","",ROUND(AC170*(1+AE170)/'Настройки цен'!$B$6,0)*'Настройки цен'!$B$6)</f>
        <v/>
      </c>
      <c r="AG170" s="12" t="str">
        <f aca="false">IF(OR(AC170="",H170=""),"",H170/AC170-1)</f>
        <v/>
      </c>
      <c r="AH170" s="7"/>
    </row>
    <row r="171" customFormat="false" ht="15.75" hidden="false" customHeight="true" outlineLevel="0" collapsed="false">
      <c r="B171" s="3" t="s">
        <v>342</v>
      </c>
      <c r="E171" s="3" t="s">
        <v>70</v>
      </c>
      <c r="F171" s="4"/>
      <c r="G171" s="5"/>
      <c r="H171" s="5" t="n">
        <v>1000</v>
      </c>
      <c r="I171" s="3" t="n">
        <v>16</v>
      </c>
      <c r="K171" s="6" t="n">
        <f aca="false">I171-J171</f>
        <v>16</v>
      </c>
      <c r="L171" s="5" t="n">
        <f aca="false">K171*H171</f>
        <v>16000</v>
      </c>
      <c r="M171" s="5" t="str">
        <f aca="false">IF(A171="","",H171*J171)</f>
        <v/>
      </c>
      <c r="N171" s="5" t="str">
        <f aca="false">IF(A171="","",G171*J171)</f>
        <v/>
      </c>
      <c r="O171" s="5" t="str">
        <f aca="false">IF(A171="","",M171-N171)</f>
        <v/>
      </c>
      <c r="Q171" s="7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7" t="n">
        <f aca="false">SUMPRODUCT(--(R171:AA171&gt;0),'Настройки цен'!$B$12:$K$12)</f>
        <v>0</v>
      </c>
      <c r="AC171" s="9" t="str">
        <f aca="false">IF(AB171=0,"",SUMPRODUCT(R171:AA171,'Настройки цен'!$B$11:$K$11,'Настройки цен'!$B$12:$K$12)/AB171)</f>
        <v/>
      </c>
      <c r="AD171" s="10"/>
      <c r="AE171" s="11" t="n">
        <f aca="false">IF(AD171&lt;&gt;"",AD171,IFERROR(IF(INDEX('Настройки цен'!$B$17:$B$24,MATCH(E171,'Настройки цен'!$A$17:$A$24,0))="",'Настройки цен'!$B$5,INDEX('Настройки цен'!$B$17:$B$24,MATCH(E171,'Настройки цен'!$A$17:$A$24,0))),'Настройки цен'!$B$5))</f>
        <v>0</v>
      </c>
      <c r="AF171" s="9" t="str">
        <f aca="false">IF(AC171="","",ROUND(AC171*(1+AE171)/'Настройки цен'!$B$6,0)*'Настройки цен'!$B$6)</f>
        <v/>
      </c>
      <c r="AG171" s="12" t="str">
        <f aca="false">IF(OR(AC171="",H171=""),"",H171/AC171-1)</f>
        <v/>
      </c>
      <c r="AH171" s="7"/>
    </row>
    <row r="172" customFormat="false" ht="15.75" hidden="false" customHeight="true" outlineLevel="0" collapsed="false">
      <c r="B172" s="3" t="s">
        <v>343</v>
      </c>
      <c r="E172" s="3" t="s">
        <v>70</v>
      </c>
      <c r="F172" s="4"/>
      <c r="G172" s="5"/>
      <c r="H172" s="5" t="n">
        <v>2000</v>
      </c>
      <c r="I172" s="3" t="n">
        <v>16</v>
      </c>
      <c r="K172" s="6" t="n">
        <f aca="false">I172-J172</f>
        <v>16</v>
      </c>
      <c r="L172" s="5" t="n">
        <f aca="false">K172*H172</f>
        <v>32000</v>
      </c>
      <c r="M172" s="5" t="str">
        <f aca="false">IF(A172="","",H172*J172)</f>
        <v/>
      </c>
      <c r="N172" s="5" t="str">
        <f aca="false">IF(A172="","",G172*J172)</f>
        <v/>
      </c>
      <c r="O172" s="5" t="str">
        <f aca="false">IF(A172="","",M172-N172)</f>
        <v/>
      </c>
      <c r="Q172" s="7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7" t="n">
        <f aca="false">SUMPRODUCT(--(R172:AA172&gt;0),'Настройки цен'!$B$12:$K$12)</f>
        <v>0</v>
      </c>
      <c r="AC172" s="9" t="str">
        <f aca="false">IF(AB172=0,"",SUMPRODUCT(R172:AA172,'Настройки цен'!$B$11:$K$11,'Настройки цен'!$B$12:$K$12)/AB172)</f>
        <v/>
      </c>
      <c r="AD172" s="10"/>
      <c r="AE172" s="11" t="n">
        <f aca="false">IF(AD172&lt;&gt;"",AD172,IFERROR(IF(INDEX('Настройки цен'!$B$17:$B$24,MATCH(E172,'Настройки цен'!$A$17:$A$24,0))="",'Настройки цен'!$B$5,INDEX('Настройки цен'!$B$17:$B$24,MATCH(E172,'Настройки цен'!$A$17:$A$24,0))),'Настройки цен'!$B$5))</f>
        <v>0</v>
      </c>
      <c r="AF172" s="9" t="str">
        <f aca="false">IF(AC172="","",ROUND(AC172*(1+AE172)/'Настройки цен'!$B$6,0)*'Настройки цен'!$B$6)</f>
        <v/>
      </c>
      <c r="AG172" s="12" t="str">
        <f aca="false">IF(OR(AC172="",H172=""),"",H172/AC172-1)</f>
        <v/>
      </c>
      <c r="AH172" s="7"/>
    </row>
    <row r="173" customFormat="false" ht="15.75" hidden="false" customHeight="true" outlineLevel="0" collapsed="false">
      <c r="A173" s="3" t="n">
        <v>4523501015</v>
      </c>
      <c r="B173" s="3" t="s">
        <v>344</v>
      </c>
      <c r="D173" s="3" t="s">
        <v>41</v>
      </c>
      <c r="E173" s="3" t="s">
        <v>37</v>
      </c>
      <c r="F173" s="4"/>
      <c r="G173" s="5"/>
      <c r="H173" s="5" t="n">
        <v>15000</v>
      </c>
      <c r="I173" s="3" t="n">
        <v>3</v>
      </c>
      <c r="K173" s="6" t="n">
        <f aca="false">I173-J173</f>
        <v>3</v>
      </c>
      <c r="L173" s="5" t="n">
        <f aca="false">K173*H173</f>
        <v>45000</v>
      </c>
      <c r="M173" s="5" t="n">
        <f aca="false">IF(A173="","",H173*J173)</f>
        <v>0</v>
      </c>
      <c r="N173" s="5" t="n">
        <f aca="false">IF(A173="","",G173*J173)</f>
        <v>0</v>
      </c>
      <c r="O173" s="5" t="n">
        <f aca="false">IF(A173="","",M173-N173)</f>
        <v>0</v>
      </c>
      <c r="Q173" s="7" t="s">
        <v>345</v>
      </c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7" t="n">
        <f aca="false">SUMPRODUCT(--(R173:AA173&gt;0),'Настройки цен'!$B$12:$K$12)</f>
        <v>0</v>
      </c>
      <c r="AC173" s="9" t="str">
        <f aca="false">IF(AB173=0,"",SUMPRODUCT(R173:AA173,'Настройки цен'!$B$11:$K$11,'Настройки цен'!$B$12:$K$12)/AB173)</f>
        <v/>
      </c>
      <c r="AD173" s="10"/>
      <c r="AE173" s="11" t="n">
        <f aca="false">IF(AD173&lt;&gt;"",AD173,IFERROR(IF(INDEX('Настройки цен'!$B$17:$B$24,MATCH(E173,'Настройки цен'!$A$17:$A$24,0))="",'Настройки цен'!$B$5,INDEX('Настройки цен'!$B$17:$B$24,MATCH(E173,'Настройки цен'!$A$17:$A$24,0))),'Настройки цен'!$B$5))</f>
        <v>0</v>
      </c>
      <c r="AF173" s="9" t="str">
        <f aca="false">IF(AC173="","",ROUND(AC173*(1+AE173)/'Настройки цен'!$B$6,0)*'Настройки цен'!$B$6)</f>
        <v/>
      </c>
      <c r="AG173" s="12" t="str">
        <f aca="false">IF(OR(AC173="",H173=""),"",H173/AC173-1)</f>
        <v/>
      </c>
      <c r="AH173" s="7"/>
    </row>
    <row r="174" customFormat="false" ht="15.75" hidden="false" customHeight="true" outlineLevel="0" collapsed="false">
      <c r="A174" s="3" t="n">
        <v>1301702155</v>
      </c>
      <c r="B174" s="3" t="s">
        <v>346</v>
      </c>
      <c r="D174" s="3" t="s">
        <v>242</v>
      </c>
      <c r="E174" s="3" t="s">
        <v>55</v>
      </c>
      <c r="F174" s="4"/>
      <c r="G174" s="5"/>
      <c r="H174" s="5" t="n">
        <v>2000</v>
      </c>
      <c r="I174" s="3" t="n">
        <v>10</v>
      </c>
      <c r="K174" s="6" t="n">
        <f aca="false">I174-J174</f>
        <v>10</v>
      </c>
      <c r="L174" s="5" t="n">
        <f aca="false">K174*H174</f>
        <v>20000</v>
      </c>
      <c r="M174" s="5" t="n">
        <f aca="false">IF(A174="","",H174*J174)</f>
        <v>0</v>
      </c>
      <c r="N174" s="5" t="n">
        <f aca="false">IF(A174="","",G174*J174)</f>
        <v>0</v>
      </c>
      <c r="O174" s="5" t="n">
        <f aca="false">IF(A174="","",M174-N174)</f>
        <v>0</v>
      </c>
      <c r="Q174" s="7" t="s">
        <v>347</v>
      </c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7" t="n">
        <f aca="false">SUMPRODUCT(--(R174:AA174&gt;0),'Настройки цен'!$B$12:$K$12)</f>
        <v>0</v>
      </c>
      <c r="AC174" s="9" t="str">
        <f aca="false">IF(AB174=0,"",SUMPRODUCT(R174:AA174,'Настройки цен'!$B$11:$K$11,'Настройки цен'!$B$12:$K$12)/AB174)</f>
        <v/>
      </c>
      <c r="AD174" s="10"/>
      <c r="AE174" s="11" t="n">
        <f aca="false">IF(AD174&lt;&gt;"",AD174,IFERROR(IF(INDEX('Настройки цен'!$B$17:$B$24,MATCH(E174,'Настройки цен'!$A$17:$A$24,0))="",'Настройки цен'!$B$5,INDEX('Настройки цен'!$B$17:$B$24,MATCH(E174,'Настройки цен'!$A$17:$A$24,0))),'Настройки цен'!$B$5))</f>
        <v>0</v>
      </c>
      <c r="AF174" s="9" t="str">
        <f aca="false">IF(AC174="","",ROUND(AC174*(1+AE174)/'Настройки цен'!$B$6,0)*'Настройки цен'!$B$6)</f>
        <v/>
      </c>
      <c r="AG174" s="12" t="str">
        <f aca="false">IF(OR(AC174="",H174=""),"",H174/AC174-1)</f>
        <v/>
      </c>
      <c r="AH174" s="7"/>
    </row>
    <row r="175" customFormat="false" ht="15.75" hidden="false" customHeight="true" outlineLevel="0" collapsed="false">
      <c r="B175" s="3" t="s">
        <v>348</v>
      </c>
      <c r="D175" s="3" t="s">
        <v>69</v>
      </c>
      <c r="E175" s="3" t="s">
        <v>55</v>
      </c>
      <c r="F175" s="4"/>
      <c r="G175" s="5"/>
      <c r="H175" s="5" t="n">
        <v>6000</v>
      </c>
      <c r="I175" s="3" t="n">
        <v>1</v>
      </c>
      <c r="K175" s="6" t="n">
        <f aca="false">I175-J175</f>
        <v>1</v>
      </c>
      <c r="L175" s="5" t="n">
        <f aca="false">K175*H175</f>
        <v>6000</v>
      </c>
      <c r="M175" s="5" t="str">
        <f aca="false">IF(A175="","",H175*J175)</f>
        <v/>
      </c>
      <c r="N175" s="5" t="str">
        <f aca="false">IF(A175="","",G175*J175)</f>
        <v/>
      </c>
      <c r="O175" s="5" t="str">
        <f aca="false">IF(A175="","",M175-N175)</f>
        <v/>
      </c>
      <c r="Q175" s="7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7" t="n">
        <f aca="false">SUMPRODUCT(--(R175:AA175&gt;0),'Настройки цен'!$B$12:$K$12)</f>
        <v>0</v>
      </c>
      <c r="AC175" s="9" t="str">
        <f aca="false">IF(AB175=0,"",SUMPRODUCT(R175:AA175,'Настройки цен'!$B$11:$K$11,'Настройки цен'!$B$12:$K$12)/AB175)</f>
        <v/>
      </c>
      <c r="AD175" s="10"/>
      <c r="AE175" s="11" t="n">
        <f aca="false">IF(AD175&lt;&gt;"",AD175,IFERROR(IF(INDEX('Настройки цен'!$B$17:$B$24,MATCH(E175,'Настройки цен'!$A$17:$A$24,0))="",'Настройки цен'!$B$5,INDEX('Настройки цен'!$B$17:$B$24,MATCH(E175,'Настройки цен'!$A$17:$A$24,0))),'Настройки цен'!$B$5))</f>
        <v>0</v>
      </c>
      <c r="AF175" s="9" t="str">
        <f aca="false">IF(AC175="","",ROUND(AC175*(1+AE175)/'Настройки цен'!$B$6,0)*'Настройки цен'!$B$6)</f>
        <v/>
      </c>
      <c r="AG175" s="12" t="str">
        <f aca="false">IF(OR(AC175="",H175=""),"",H175/AC175-1)</f>
        <v/>
      </c>
      <c r="AH175" s="7"/>
    </row>
    <row r="176" customFormat="false" ht="15.75" hidden="false" customHeight="true" outlineLevel="0" collapsed="false">
      <c r="B176" s="3" t="s">
        <v>349</v>
      </c>
      <c r="D176" s="3" t="s">
        <v>41</v>
      </c>
      <c r="E176" s="3" t="s">
        <v>137</v>
      </c>
      <c r="F176" s="4"/>
      <c r="G176" s="5"/>
      <c r="H176" s="5" t="n">
        <v>20000</v>
      </c>
      <c r="I176" s="3" t="n">
        <v>2</v>
      </c>
      <c r="K176" s="6" t="n">
        <f aca="false">I176-J176</f>
        <v>2</v>
      </c>
      <c r="L176" s="5" t="n">
        <f aca="false">K176*H176</f>
        <v>40000</v>
      </c>
      <c r="M176" s="5" t="str">
        <f aca="false">IF(A176="","",H176*J176)</f>
        <v/>
      </c>
      <c r="N176" s="5" t="str">
        <f aca="false">IF(A176="","",G176*J176)</f>
        <v/>
      </c>
      <c r="O176" s="5" t="str">
        <f aca="false">IF(A176="","",M176-N176)</f>
        <v/>
      </c>
      <c r="Q176" s="7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7" t="n">
        <f aca="false">SUMPRODUCT(--(R176:AA176&gt;0),'Настройки цен'!$B$12:$K$12)</f>
        <v>0</v>
      </c>
      <c r="AC176" s="9" t="str">
        <f aca="false">IF(AB176=0,"",SUMPRODUCT(R176:AA176,'Настройки цен'!$B$11:$K$11,'Настройки цен'!$B$12:$K$12)/AB176)</f>
        <v/>
      </c>
      <c r="AD176" s="10"/>
      <c r="AE176" s="11" t="n">
        <f aca="false">IF(AD176&lt;&gt;"",AD176,IFERROR(IF(INDEX('Настройки цен'!$B$17:$B$24,MATCH(E176,'Настройки цен'!$A$17:$A$24,0))="",'Настройки цен'!$B$5,INDEX('Настройки цен'!$B$17:$B$24,MATCH(E176,'Настройки цен'!$A$17:$A$24,0))),'Настройки цен'!$B$5))</f>
        <v>0</v>
      </c>
      <c r="AF176" s="9" t="str">
        <f aca="false">IF(AC176="","",ROUND(AC176*(1+AE176)/'Настройки цен'!$B$6,0)*'Настройки цен'!$B$6)</f>
        <v/>
      </c>
      <c r="AG176" s="12" t="str">
        <f aca="false">IF(OR(AC176="",H176=""),"",H176/AC176-1)</f>
        <v/>
      </c>
      <c r="AH176" s="7"/>
    </row>
    <row r="177" customFormat="false" ht="15.75" hidden="false" customHeight="true" outlineLevel="0" collapsed="false">
      <c r="B177" s="3" t="s">
        <v>350</v>
      </c>
      <c r="D177" s="3" t="s">
        <v>41</v>
      </c>
      <c r="E177" s="3" t="s">
        <v>55</v>
      </c>
      <c r="F177" s="4"/>
      <c r="G177" s="5"/>
      <c r="H177" s="5" t="n">
        <v>5000</v>
      </c>
      <c r="I177" s="3" t="n">
        <v>6</v>
      </c>
      <c r="K177" s="6" t="n">
        <f aca="false">I177-J177</f>
        <v>6</v>
      </c>
      <c r="L177" s="5" t="n">
        <f aca="false">K177*H177</f>
        <v>30000</v>
      </c>
      <c r="M177" s="5" t="str">
        <f aca="false">IF(A177="","",H177*J177)</f>
        <v/>
      </c>
      <c r="N177" s="5" t="str">
        <f aca="false">IF(A177="","",G177*J177)</f>
        <v/>
      </c>
      <c r="O177" s="5" t="str">
        <f aca="false">IF(A177="","",M177-N177)</f>
        <v/>
      </c>
      <c r="Q177" s="7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7" t="n">
        <f aca="false">SUMPRODUCT(--(R177:AA177&gt;0),'Настройки цен'!$B$12:$K$12)</f>
        <v>0</v>
      </c>
      <c r="AC177" s="9" t="str">
        <f aca="false">IF(AB177=0,"",SUMPRODUCT(R177:AA177,'Настройки цен'!$B$11:$K$11,'Настройки цен'!$B$12:$K$12)/AB177)</f>
        <v/>
      </c>
      <c r="AD177" s="10"/>
      <c r="AE177" s="11" t="n">
        <f aca="false">IF(AD177&lt;&gt;"",AD177,IFERROR(IF(INDEX('Настройки цен'!$B$17:$B$24,MATCH(E177,'Настройки цен'!$A$17:$A$24,0))="",'Настройки цен'!$B$5,INDEX('Настройки цен'!$B$17:$B$24,MATCH(E177,'Настройки цен'!$A$17:$A$24,0))),'Настройки цен'!$B$5))</f>
        <v>0</v>
      </c>
      <c r="AF177" s="9" t="str">
        <f aca="false">IF(AC177="","",ROUND(AC177*(1+AE177)/'Настройки цен'!$B$6,0)*'Настройки цен'!$B$6)</f>
        <v/>
      </c>
      <c r="AG177" s="12" t="str">
        <f aca="false">IF(OR(AC177="",H177=""),"",H177/AC177-1)</f>
        <v/>
      </c>
      <c r="AH177" s="7"/>
    </row>
    <row r="178" customFormat="false" ht="15.75" hidden="false" customHeight="true" outlineLevel="0" collapsed="false">
      <c r="B178" s="3" t="s">
        <v>351</v>
      </c>
      <c r="D178" s="3" t="s">
        <v>66</v>
      </c>
      <c r="E178" s="3" t="s">
        <v>55</v>
      </c>
      <c r="F178" s="4"/>
      <c r="G178" s="5"/>
      <c r="H178" s="5" t="n">
        <v>5000</v>
      </c>
      <c r="I178" s="3" t="n">
        <v>1</v>
      </c>
      <c r="K178" s="6" t="n">
        <f aca="false">I178-J178</f>
        <v>1</v>
      </c>
      <c r="L178" s="5" t="n">
        <f aca="false">K178*H178</f>
        <v>5000</v>
      </c>
      <c r="M178" s="5" t="str">
        <f aca="false">IF(A178="","",H178*J178)</f>
        <v/>
      </c>
      <c r="N178" s="5" t="str">
        <f aca="false">IF(A178="","",G178*J178)</f>
        <v/>
      </c>
      <c r="O178" s="5" t="str">
        <f aca="false">IF(A178="","",M178-N178)</f>
        <v/>
      </c>
      <c r="Q178" s="7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7" t="n">
        <f aca="false">SUMPRODUCT(--(R178:AA178&gt;0),'Настройки цен'!$B$12:$K$12)</f>
        <v>0</v>
      </c>
      <c r="AC178" s="9" t="str">
        <f aca="false">IF(AB178=0,"",SUMPRODUCT(R178:AA178,'Настройки цен'!$B$11:$K$11,'Настройки цен'!$B$12:$K$12)/AB178)</f>
        <v/>
      </c>
      <c r="AD178" s="10"/>
      <c r="AE178" s="11" t="n">
        <f aca="false">IF(AD178&lt;&gt;"",AD178,IFERROR(IF(INDEX('Настройки цен'!$B$17:$B$24,MATCH(E178,'Настройки цен'!$A$17:$A$24,0))="",'Настройки цен'!$B$5,INDEX('Настройки цен'!$B$17:$B$24,MATCH(E178,'Настройки цен'!$A$17:$A$24,0))),'Настройки цен'!$B$5))</f>
        <v>0</v>
      </c>
      <c r="AF178" s="9" t="str">
        <f aca="false">IF(AC178="","",ROUND(AC178*(1+AE178)/'Настройки цен'!$B$6,0)*'Настройки цен'!$B$6)</f>
        <v/>
      </c>
      <c r="AG178" s="12" t="str">
        <f aca="false">IF(OR(AC178="",H178=""),"",H178/AC178-1)</f>
        <v/>
      </c>
      <c r="AH178" s="7"/>
    </row>
    <row r="179" customFormat="false" ht="15.75" hidden="false" customHeight="true" outlineLevel="0" collapsed="false">
      <c r="B179" s="3" t="s">
        <v>352</v>
      </c>
      <c r="D179" s="3" t="s">
        <v>41</v>
      </c>
      <c r="E179" s="3" t="s">
        <v>55</v>
      </c>
      <c r="F179" s="4"/>
      <c r="G179" s="5"/>
      <c r="H179" s="5" t="n">
        <v>4000</v>
      </c>
      <c r="I179" s="3" t="n">
        <v>13</v>
      </c>
      <c r="K179" s="6" t="n">
        <f aca="false">I179-J179</f>
        <v>13</v>
      </c>
      <c r="L179" s="5" t="n">
        <f aca="false">K179*H179</f>
        <v>52000</v>
      </c>
      <c r="M179" s="5" t="str">
        <f aca="false">IF(A179="","",H179*J179)</f>
        <v/>
      </c>
      <c r="N179" s="5" t="str">
        <f aca="false">IF(A179="","",G179*J179)</f>
        <v/>
      </c>
      <c r="O179" s="5" t="str">
        <f aca="false">IF(A179="","",M179-N179)</f>
        <v/>
      </c>
      <c r="Q179" s="7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7" t="n">
        <f aca="false">SUMPRODUCT(--(R179:AA179&gt;0),'Настройки цен'!$B$12:$K$12)</f>
        <v>0</v>
      </c>
      <c r="AC179" s="9" t="str">
        <f aca="false">IF(AB179=0,"",SUMPRODUCT(R179:AA179,'Настройки цен'!$B$11:$K$11,'Настройки цен'!$B$12:$K$12)/AB179)</f>
        <v/>
      </c>
      <c r="AD179" s="10"/>
      <c r="AE179" s="11" t="n">
        <f aca="false">IF(AD179&lt;&gt;"",AD179,IFERROR(IF(INDEX('Настройки цен'!$B$17:$B$24,MATCH(E179,'Настройки цен'!$A$17:$A$24,0))="",'Настройки цен'!$B$5,INDEX('Настройки цен'!$B$17:$B$24,MATCH(E179,'Настройки цен'!$A$17:$A$24,0))),'Настройки цен'!$B$5))</f>
        <v>0</v>
      </c>
      <c r="AF179" s="9" t="str">
        <f aca="false">IF(AC179="","",ROUND(AC179*(1+AE179)/'Настройки цен'!$B$6,0)*'Настройки цен'!$B$6)</f>
        <v/>
      </c>
      <c r="AG179" s="12" t="str">
        <f aca="false">IF(OR(AC179="",H179=""),"",H179/AC179-1)</f>
        <v/>
      </c>
      <c r="AH179" s="7"/>
    </row>
    <row r="180" customFormat="false" ht="15.75" hidden="false" customHeight="true" outlineLevel="0" collapsed="false">
      <c r="A180" s="3" t="s">
        <v>353</v>
      </c>
      <c r="B180" s="3" t="s">
        <v>354</v>
      </c>
      <c r="D180" s="3" t="s">
        <v>273</v>
      </c>
      <c r="E180" s="3" t="s">
        <v>70</v>
      </c>
      <c r="F180" s="4"/>
      <c r="G180" s="5"/>
      <c r="H180" s="5" t="n">
        <v>10000</v>
      </c>
      <c r="I180" s="3" t="n">
        <v>7</v>
      </c>
      <c r="K180" s="6" t="n">
        <f aca="false">I180-J180</f>
        <v>7</v>
      </c>
      <c r="L180" s="5" t="n">
        <f aca="false">K180*H180</f>
        <v>70000</v>
      </c>
      <c r="M180" s="5" t="n">
        <f aca="false">IF(A180="","",H180*J180)</f>
        <v>0</v>
      </c>
      <c r="N180" s="5" t="n">
        <f aca="false">IF(A180="","",G180*J180)</f>
        <v>0</v>
      </c>
      <c r="O180" s="5" t="n">
        <f aca="false">IF(A180="","",M180-N180)</f>
        <v>0</v>
      </c>
      <c r="Q180" s="7" t="s">
        <v>353</v>
      </c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7" t="n">
        <f aca="false">SUMPRODUCT(--(R180:AA180&gt;0),'Настройки цен'!$B$12:$K$12)</f>
        <v>0</v>
      </c>
      <c r="AC180" s="9" t="str">
        <f aca="false">IF(AB180=0,"",SUMPRODUCT(R180:AA180,'Настройки цен'!$B$11:$K$11,'Настройки цен'!$B$12:$K$12)/AB180)</f>
        <v/>
      </c>
      <c r="AD180" s="10"/>
      <c r="AE180" s="11" t="n">
        <f aca="false">IF(AD180&lt;&gt;"",AD180,IFERROR(IF(INDEX('Настройки цен'!$B$17:$B$24,MATCH(E180,'Настройки цен'!$A$17:$A$24,0))="",'Настройки цен'!$B$5,INDEX('Настройки цен'!$B$17:$B$24,MATCH(E180,'Настройки цен'!$A$17:$A$24,0))),'Настройки цен'!$B$5))</f>
        <v>0</v>
      </c>
      <c r="AF180" s="9" t="str">
        <f aca="false">IF(AC180="","",ROUND(AC180*(1+AE180)/'Настройки цен'!$B$6,0)*'Настройки цен'!$B$6)</f>
        <v/>
      </c>
      <c r="AG180" s="12" t="str">
        <f aca="false">IF(OR(AC180="",H180=""),"",H180/AC180-1)</f>
        <v/>
      </c>
      <c r="AH180" s="7"/>
    </row>
    <row r="181" customFormat="false" ht="15.75" hidden="false" customHeight="true" outlineLevel="0" collapsed="false">
      <c r="B181" s="3" t="s">
        <v>355</v>
      </c>
      <c r="D181" s="3" t="s">
        <v>41</v>
      </c>
      <c r="E181" s="3" t="s">
        <v>55</v>
      </c>
      <c r="F181" s="4"/>
      <c r="G181" s="5"/>
      <c r="H181" s="5" t="n">
        <v>150000</v>
      </c>
      <c r="I181" s="3" t="n">
        <v>2</v>
      </c>
      <c r="K181" s="6" t="n">
        <f aca="false">I181-J181</f>
        <v>2</v>
      </c>
      <c r="L181" s="5" t="n">
        <f aca="false">K181*H181</f>
        <v>300000</v>
      </c>
      <c r="M181" s="5" t="str">
        <f aca="false">IF(A181="","",H181*J181)</f>
        <v/>
      </c>
      <c r="N181" s="5" t="str">
        <f aca="false">IF(A181="","",G181*J181)</f>
        <v/>
      </c>
      <c r="O181" s="5" t="str">
        <f aca="false">IF(A181="","",M181-N181)</f>
        <v/>
      </c>
      <c r="Q181" s="7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7" t="n">
        <f aca="false">SUMPRODUCT(--(R181:AA181&gt;0),'Настройки цен'!$B$12:$K$12)</f>
        <v>0</v>
      </c>
      <c r="AC181" s="9" t="str">
        <f aca="false">IF(AB181=0,"",SUMPRODUCT(R181:AA181,'Настройки цен'!$B$11:$K$11,'Настройки цен'!$B$12:$K$12)/AB181)</f>
        <v/>
      </c>
      <c r="AD181" s="10"/>
      <c r="AE181" s="11" t="n">
        <f aca="false">IF(AD181&lt;&gt;"",AD181,IFERROR(IF(INDEX('Настройки цен'!$B$17:$B$24,MATCH(E181,'Настройки цен'!$A$17:$A$24,0))="",'Настройки цен'!$B$5,INDEX('Настройки цен'!$B$17:$B$24,MATCH(E181,'Настройки цен'!$A$17:$A$24,0))),'Настройки цен'!$B$5))</f>
        <v>0</v>
      </c>
      <c r="AF181" s="9" t="str">
        <f aca="false">IF(AC181="","",ROUND(AC181*(1+AE181)/'Настройки цен'!$B$6,0)*'Настройки цен'!$B$6)</f>
        <v/>
      </c>
      <c r="AG181" s="12" t="str">
        <f aca="false">IF(OR(AC181="",H181=""),"",H181/AC181-1)</f>
        <v/>
      </c>
      <c r="AH181" s="7"/>
    </row>
    <row r="182" customFormat="false" ht="15.75" hidden="false" customHeight="true" outlineLevel="0" collapsed="false">
      <c r="B182" s="3" t="s">
        <v>356</v>
      </c>
      <c r="D182" s="3" t="s">
        <v>41</v>
      </c>
      <c r="E182" s="3" t="s">
        <v>55</v>
      </c>
      <c r="F182" s="4"/>
      <c r="G182" s="5"/>
      <c r="H182" s="5" t="n">
        <v>30000</v>
      </c>
      <c r="I182" s="3" t="n">
        <v>1</v>
      </c>
      <c r="K182" s="6" t="n">
        <f aca="false">I182-J182</f>
        <v>1</v>
      </c>
      <c r="L182" s="5" t="n">
        <f aca="false">K182*H182</f>
        <v>30000</v>
      </c>
      <c r="M182" s="5" t="str">
        <f aca="false">IF(A182="","",H182*J182)</f>
        <v/>
      </c>
      <c r="N182" s="5" t="str">
        <f aca="false">IF(A182="","",G182*J182)</f>
        <v/>
      </c>
      <c r="O182" s="5" t="str">
        <f aca="false">IF(A182="","",M182-N182)</f>
        <v/>
      </c>
      <c r="Q182" s="7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7" t="n">
        <f aca="false">SUMPRODUCT(--(R182:AA182&gt;0),'Настройки цен'!$B$12:$K$12)</f>
        <v>0</v>
      </c>
      <c r="AC182" s="9" t="str">
        <f aca="false">IF(AB182=0,"",SUMPRODUCT(R182:AA182,'Настройки цен'!$B$11:$K$11,'Настройки цен'!$B$12:$K$12)/AB182)</f>
        <v/>
      </c>
      <c r="AD182" s="10"/>
      <c r="AE182" s="11" t="n">
        <f aca="false">IF(AD182&lt;&gt;"",AD182,IFERROR(IF(INDEX('Настройки цен'!$B$17:$B$24,MATCH(E182,'Настройки цен'!$A$17:$A$24,0))="",'Настройки цен'!$B$5,INDEX('Настройки цен'!$B$17:$B$24,MATCH(E182,'Настройки цен'!$A$17:$A$24,0))),'Настройки цен'!$B$5))</f>
        <v>0</v>
      </c>
      <c r="AF182" s="9" t="str">
        <f aca="false">IF(AC182="","",ROUND(AC182*(1+AE182)/'Настройки цен'!$B$6,0)*'Настройки цен'!$B$6)</f>
        <v/>
      </c>
      <c r="AG182" s="12" t="str">
        <f aca="false">IF(OR(AC182="",H182=""),"",H182/AC182-1)</f>
        <v/>
      </c>
      <c r="AH182" s="7"/>
    </row>
    <row r="183" customFormat="false" ht="15.75" hidden="false" customHeight="true" outlineLevel="0" collapsed="false">
      <c r="A183" s="3" t="n">
        <v>40621005120</v>
      </c>
      <c r="B183" s="3" t="s">
        <v>357</v>
      </c>
      <c r="D183" s="3" t="s">
        <v>273</v>
      </c>
      <c r="E183" s="3" t="s">
        <v>70</v>
      </c>
      <c r="F183" s="4"/>
      <c r="G183" s="5"/>
      <c r="H183" s="5" t="n">
        <v>50000</v>
      </c>
      <c r="I183" s="3" t="n">
        <v>1</v>
      </c>
      <c r="K183" s="6" t="n">
        <f aca="false">I183-J183</f>
        <v>1</v>
      </c>
      <c r="L183" s="5" t="n">
        <f aca="false">K183*H183</f>
        <v>50000</v>
      </c>
      <c r="M183" s="5" t="n">
        <f aca="false">IF(A183="","",H183*J183)</f>
        <v>0</v>
      </c>
      <c r="N183" s="5" t="n">
        <f aca="false">IF(A183="","",G183*J183)</f>
        <v>0</v>
      </c>
      <c r="O183" s="5" t="n">
        <f aca="false">IF(A183="","",M183-N183)</f>
        <v>0</v>
      </c>
      <c r="Q183" s="7" t="s">
        <v>358</v>
      </c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7" t="n">
        <f aca="false">SUMPRODUCT(--(R183:AA183&gt;0),'Настройки цен'!$B$12:$K$12)</f>
        <v>0</v>
      </c>
      <c r="AC183" s="9" t="str">
        <f aca="false">IF(AB183=0,"",SUMPRODUCT(R183:AA183,'Настройки цен'!$B$11:$K$11,'Настройки цен'!$B$12:$K$12)/AB183)</f>
        <v/>
      </c>
      <c r="AD183" s="10"/>
      <c r="AE183" s="11" t="n">
        <f aca="false">IF(AD183&lt;&gt;"",AD183,IFERROR(IF(INDEX('Настройки цен'!$B$17:$B$24,MATCH(E183,'Настройки цен'!$A$17:$A$24,0))="",'Настройки цен'!$B$5,INDEX('Настройки цен'!$B$17:$B$24,MATCH(E183,'Настройки цен'!$A$17:$A$24,0))),'Настройки цен'!$B$5))</f>
        <v>0</v>
      </c>
      <c r="AF183" s="9" t="str">
        <f aca="false">IF(AC183="","",ROUND(AC183*(1+AE183)/'Настройки цен'!$B$6,0)*'Настройки цен'!$B$6)</f>
        <v/>
      </c>
      <c r="AG183" s="12" t="str">
        <f aca="false">IF(OR(AC183="",H183=""),"",H183/AC183-1)</f>
        <v/>
      </c>
      <c r="AH183" s="7"/>
    </row>
    <row r="184" customFormat="false" ht="15.75" hidden="false" customHeight="true" outlineLevel="0" collapsed="false">
      <c r="A184" s="3" t="n">
        <v>41730100511520</v>
      </c>
      <c r="B184" s="3" t="s">
        <v>357</v>
      </c>
      <c r="D184" s="3" t="s">
        <v>273</v>
      </c>
      <c r="E184" s="3" t="s">
        <v>70</v>
      </c>
      <c r="F184" s="4"/>
      <c r="G184" s="5"/>
      <c r="H184" s="5" t="n">
        <v>50000</v>
      </c>
      <c r="I184" s="3" t="n">
        <v>1</v>
      </c>
      <c r="K184" s="6" t="n">
        <f aca="false">I184-J184</f>
        <v>1</v>
      </c>
      <c r="L184" s="5" t="n">
        <f aca="false">K184*H184</f>
        <v>50000</v>
      </c>
      <c r="M184" s="5" t="n">
        <f aca="false">IF(A184="","",H184*J184)</f>
        <v>0</v>
      </c>
      <c r="N184" s="5" t="n">
        <f aca="false">IF(A184="","",G184*J184)</f>
        <v>0</v>
      </c>
      <c r="O184" s="5" t="n">
        <f aca="false">IF(A184="","",M184-N184)</f>
        <v>0</v>
      </c>
      <c r="Q184" s="7" t="s">
        <v>359</v>
      </c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7" t="n">
        <f aca="false">SUMPRODUCT(--(R184:AA184&gt;0),'Настройки цен'!$B$12:$K$12)</f>
        <v>0</v>
      </c>
      <c r="AC184" s="9" t="str">
        <f aca="false">IF(AB184=0,"",SUMPRODUCT(R184:AA184,'Настройки цен'!$B$11:$K$11,'Настройки цен'!$B$12:$K$12)/AB184)</f>
        <v/>
      </c>
      <c r="AD184" s="10"/>
      <c r="AE184" s="11" t="n">
        <f aca="false">IF(AD184&lt;&gt;"",AD184,IFERROR(IF(INDEX('Настройки цен'!$B$17:$B$24,MATCH(E184,'Настройки цен'!$A$17:$A$24,0))="",'Настройки цен'!$B$5,INDEX('Настройки цен'!$B$17:$B$24,MATCH(E184,'Настройки цен'!$A$17:$A$24,0))),'Настройки цен'!$B$5))</f>
        <v>0</v>
      </c>
      <c r="AF184" s="9" t="str">
        <f aca="false">IF(AC184="","",ROUND(AC184*(1+AE184)/'Настройки цен'!$B$6,0)*'Настройки цен'!$B$6)</f>
        <v/>
      </c>
      <c r="AG184" s="12" t="str">
        <f aca="false">IF(OR(AC184="",H184=""),"",H184/AC184-1)</f>
        <v/>
      </c>
      <c r="AH184" s="7"/>
    </row>
    <row r="185" customFormat="false" ht="15.75" hidden="false" customHeight="true" outlineLevel="0" collapsed="false">
      <c r="B185" s="3" t="s">
        <v>360</v>
      </c>
      <c r="D185" s="3" t="s">
        <v>41</v>
      </c>
      <c r="E185" s="3" t="s">
        <v>55</v>
      </c>
      <c r="F185" s="4"/>
      <c r="G185" s="5"/>
      <c r="H185" s="5" t="n">
        <v>60000</v>
      </c>
      <c r="I185" s="3" t="n">
        <v>1</v>
      </c>
      <c r="K185" s="6" t="n">
        <f aca="false">I185-J185</f>
        <v>1</v>
      </c>
      <c r="L185" s="5" t="n">
        <f aca="false">K185*H185</f>
        <v>60000</v>
      </c>
      <c r="M185" s="5" t="str">
        <f aca="false">IF(A185="","",H185*J185)</f>
        <v/>
      </c>
      <c r="N185" s="5" t="str">
        <f aca="false">IF(A185="","",G185*J185)</f>
        <v/>
      </c>
      <c r="O185" s="5" t="str">
        <f aca="false">IF(A185="","",M185-N185)</f>
        <v/>
      </c>
      <c r="Q185" s="7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7" t="n">
        <f aca="false">SUMPRODUCT(--(R185:AA185&gt;0),'Настройки цен'!$B$12:$K$12)</f>
        <v>0</v>
      </c>
      <c r="AC185" s="9" t="str">
        <f aca="false">IF(AB185=0,"",SUMPRODUCT(R185:AA185,'Настройки цен'!$B$11:$K$11,'Настройки цен'!$B$12:$K$12)/AB185)</f>
        <v/>
      </c>
      <c r="AD185" s="10"/>
      <c r="AE185" s="11" t="n">
        <f aca="false">IF(AD185&lt;&gt;"",AD185,IFERROR(IF(INDEX('Настройки цен'!$B$17:$B$24,MATCH(E185,'Настройки цен'!$A$17:$A$24,0))="",'Настройки цен'!$B$5,INDEX('Настройки цен'!$B$17:$B$24,MATCH(E185,'Настройки цен'!$A$17:$A$24,0))),'Настройки цен'!$B$5))</f>
        <v>0</v>
      </c>
      <c r="AF185" s="9" t="str">
        <f aca="false">IF(AC185="","",ROUND(AC185*(1+AE185)/'Настройки цен'!$B$6,0)*'Настройки цен'!$B$6)</f>
        <v/>
      </c>
      <c r="AG185" s="12" t="str">
        <f aca="false">IF(OR(AC185="",H185=""),"",H185/AC185-1)</f>
        <v/>
      </c>
      <c r="AH185" s="7"/>
    </row>
    <row r="186" customFormat="false" ht="15.75" hidden="false" customHeight="true" outlineLevel="0" collapsed="false">
      <c r="B186" s="3" t="s">
        <v>361</v>
      </c>
      <c r="D186" s="3" t="s">
        <v>41</v>
      </c>
      <c r="E186" s="3" t="s">
        <v>55</v>
      </c>
      <c r="F186" s="4"/>
      <c r="G186" s="5"/>
      <c r="H186" s="5" t="n">
        <v>20000</v>
      </c>
      <c r="I186" s="3" t="n">
        <v>1</v>
      </c>
      <c r="K186" s="6" t="n">
        <f aca="false">I186-J186</f>
        <v>1</v>
      </c>
      <c r="L186" s="5" t="n">
        <f aca="false">K186*H186</f>
        <v>20000</v>
      </c>
      <c r="M186" s="5" t="str">
        <f aca="false">IF(A186="","",H186*J186)</f>
        <v/>
      </c>
      <c r="N186" s="5" t="str">
        <f aca="false">IF(A186="","",G186*J186)</f>
        <v/>
      </c>
      <c r="O186" s="5" t="str">
        <f aca="false">IF(A186="","",M186-N186)</f>
        <v/>
      </c>
      <c r="Q186" s="7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7" t="n">
        <f aca="false">SUMPRODUCT(--(R186:AA186&gt;0),'Настройки цен'!$B$12:$K$12)</f>
        <v>0</v>
      </c>
      <c r="AC186" s="9" t="str">
        <f aca="false">IF(AB186=0,"",SUMPRODUCT(R186:AA186,'Настройки цен'!$B$11:$K$11,'Настройки цен'!$B$12:$K$12)/AB186)</f>
        <v/>
      </c>
      <c r="AD186" s="10"/>
      <c r="AE186" s="11" t="n">
        <f aca="false">IF(AD186&lt;&gt;"",AD186,IFERROR(IF(INDEX('Настройки цен'!$B$17:$B$24,MATCH(E186,'Настройки цен'!$A$17:$A$24,0))="",'Настройки цен'!$B$5,INDEX('Настройки цен'!$B$17:$B$24,MATCH(E186,'Настройки цен'!$A$17:$A$24,0))),'Настройки цен'!$B$5))</f>
        <v>0</v>
      </c>
      <c r="AF186" s="9" t="str">
        <f aca="false">IF(AC186="","",ROUND(AC186*(1+AE186)/'Настройки цен'!$B$6,0)*'Настройки цен'!$B$6)</f>
        <v/>
      </c>
      <c r="AG186" s="12" t="str">
        <f aca="false">IF(OR(AC186="",H186=""),"",H186/AC186-1)</f>
        <v/>
      </c>
      <c r="AH186" s="7"/>
    </row>
    <row r="187" customFormat="false" ht="15.75" hidden="false" customHeight="true" outlineLevel="0" collapsed="false">
      <c r="B187" s="3" t="s">
        <v>362</v>
      </c>
      <c r="D187" s="3" t="s">
        <v>66</v>
      </c>
      <c r="E187" s="3" t="s">
        <v>37</v>
      </c>
      <c r="F187" s="4"/>
      <c r="G187" s="5"/>
      <c r="H187" s="5" t="n">
        <v>1500</v>
      </c>
      <c r="I187" s="3" t="n">
        <v>5</v>
      </c>
      <c r="K187" s="6" t="n">
        <f aca="false">I187-J187</f>
        <v>5</v>
      </c>
      <c r="L187" s="5" t="n">
        <f aca="false">K187*H187</f>
        <v>7500</v>
      </c>
      <c r="M187" s="5" t="str">
        <f aca="false">IF(A187="","",H187*J187)</f>
        <v/>
      </c>
      <c r="N187" s="5" t="str">
        <f aca="false">IF(A187="","",G187*J187)</f>
        <v/>
      </c>
      <c r="O187" s="5" t="str">
        <f aca="false">IF(A187="","",M187-N187)</f>
        <v/>
      </c>
      <c r="Q187" s="7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7" t="n">
        <f aca="false">SUMPRODUCT(--(R187:AA187&gt;0),'Настройки цен'!$B$12:$K$12)</f>
        <v>0</v>
      </c>
      <c r="AC187" s="9" t="str">
        <f aca="false">IF(AB187=0,"",SUMPRODUCT(R187:AA187,'Настройки цен'!$B$11:$K$11,'Настройки цен'!$B$12:$K$12)/AB187)</f>
        <v/>
      </c>
      <c r="AD187" s="10"/>
      <c r="AE187" s="11" t="n">
        <f aca="false">IF(AD187&lt;&gt;"",AD187,IFERROR(IF(INDEX('Настройки цен'!$B$17:$B$24,MATCH(E187,'Настройки цен'!$A$17:$A$24,0))="",'Настройки цен'!$B$5,INDEX('Настройки цен'!$B$17:$B$24,MATCH(E187,'Настройки цен'!$A$17:$A$24,0))),'Настройки цен'!$B$5))</f>
        <v>0</v>
      </c>
      <c r="AF187" s="9" t="str">
        <f aca="false">IF(AC187="","",ROUND(AC187*(1+AE187)/'Настройки цен'!$B$6,0)*'Настройки цен'!$B$6)</f>
        <v/>
      </c>
      <c r="AG187" s="12" t="str">
        <f aca="false">IF(OR(AC187="",H187=""),"",H187/AC187-1)</f>
        <v/>
      </c>
      <c r="AH187" s="7"/>
    </row>
    <row r="188" customFormat="false" ht="15.75" hidden="false" customHeight="true" outlineLevel="0" collapsed="false">
      <c r="B188" s="3" t="s">
        <v>363</v>
      </c>
      <c r="D188" s="3" t="s">
        <v>273</v>
      </c>
      <c r="E188" s="3" t="s">
        <v>70</v>
      </c>
      <c r="F188" s="4"/>
      <c r="G188" s="5"/>
      <c r="H188" s="5" t="n">
        <v>1500</v>
      </c>
      <c r="I188" s="3" t="n">
        <v>4</v>
      </c>
      <c r="K188" s="6" t="n">
        <f aca="false">I188-J188</f>
        <v>4</v>
      </c>
      <c r="L188" s="5" t="n">
        <f aca="false">K188*H188</f>
        <v>6000</v>
      </c>
      <c r="M188" s="5" t="str">
        <f aca="false">IF(A188="","",H188*J188)</f>
        <v/>
      </c>
      <c r="N188" s="5" t="str">
        <f aca="false">IF(A188="","",G188*J188)</f>
        <v/>
      </c>
      <c r="O188" s="5" t="str">
        <f aca="false">IF(A188="","",M188-N188)</f>
        <v/>
      </c>
      <c r="Q188" s="7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7" t="n">
        <f aca="false">SUMPRODUCT(--(R188:AA188&gt;0),'Настройки цен'!$B$12:$K$12)</f>
        <v>0</v>
      </c>
      <c r="AC188" s="9" t="str">
        <f aca="false">IF(AB188=0,"",SUMPRODUCT(R188:AA188,'Настройки цен'!$B$11:$K$11,'Настройки цен'!$B$12:$K$12)/AB188)</f>
        <v/>
      </c>
      <c r="AD188" s="10"/>
      <c r="AE188" s="11" t="n">
        <f aca="false">IF(AD188&lt;&gt;"",AD188,IFERROR(IF(INDEX('Настройки цен'!$B$17:$B$24,MATCH(E188,'Настройки цен'!$A$17:$A$24,0))="",'Настройки цен'!$B$5,INDEX('Настройки цен'!$B$17:$B$24,MATCH(E188,'Настройки цен'!$A$17:$A$24,0))),'Настройки цен'!$B$5))</f>
        <v>0</v>
      </c>
      <c r="AF188" s="9" t="str">
        <f aca="false">IF(AC188="","",ROUND(AC188*(1+AE188)/'Настройки цен'!$B$6,0)*'Настройки цен'!$B$6)</f>
        <v/>
      </c>
      <c r="AG188" s="12" t="str">
        <f aca="false">IF(OR(AC188="",H188=""),"",H188/AC188-1)</f>
        <v/>
      </c>
      <c r="AH188" s="7"/>
    </row>
    <row r="189" customFormat="false" ht="15.75" hidden="false" customHeight="true" outlineLevel="0" collapsed="false">
      <c r="A189" s="3" t="n">
        <v>4691602516</v>
      </c>
      <c r="B189" s="3" t="s">
        <v>364</v>
      </c>
      <c r="D189" s="3" t="s">
        <v>41</v>
      </c>
      <c r="E189" s="3" t="s">
        <v>55</v>
      </c>
      <c r="F189" s="4"/>
      <c r="G189" s="5"/>
      <c r="H189" s="5" t="n">
        <v>200</v>
      </c>
      <c r="I189" s="3" t="n">
        <v>72</v>
      </c>
      <c r="K189" s="6" t="n">
        <f aca="false">I189-J189</f>
        <v>72</v>
      </c>
      <c r="L189" s="5" t="n">
        <f aca="false">K189*H189</f>
        <v>14400</v>
      </c>
      <c r="M189" s="5" t="n">
        <f aca="false">IF(A189="","",H189*J189)</f>
        <v>0</v>
      </c>
      <c r="N189" s="5" t="n">
        <f aca="false">IF(A189="","",G189*J189)</f>
        <v>0</v>
      </c>
      <c r="O189" s="5" t="n">
        <f aca="false">IF(A189="","",M189-N189)</f>
        <v>0</v>
      </c>
      <c r="Q189" s="7" t="s">
        <v>365</v>
      </c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7" t="n">
        <f aca="false">SUMPRODUCT(--(R189:AA189&gt;0),'Настройки цен'!$B$12:$K$12)</f>
        <v>0</v>
      </c>
      <c r="AC189" s="9" t="str">
        <f aca="false">IF(AB189=0,"",SUMPRODUCT(R189:AA189,'Настройки цен'!$B$11:$K$11,'Настройки цен'!$B$12:$K$12)/AB189)</f>
        <v/>
      </c>
      <c r="AD189" s="10"/>
      <c r="AE189" s="11" t="n">
        <f aca="false">IF(AD189&lt;&gt;"",AD189,IFERROR(IF(INDEX('Настройки цен'!$B$17:$B$24,MATCH(E189,'Настройки цен'!$A$17:$A$24,0))="",'Настройки цен'!$B$5,INDEX('Настройки цен'!$B$17:$B$24,MATCH(E189,'Настройки цен'!$A$17:$A$24,0))),'Настройки цен'!$B$5))</f>
        <v>0</v>
      </c>
      <c r="AF189" s="9" t="str">
        <f aca="false">IF(AC189="","",ROUND(AC189*(1+AE189)/'Настройки цен'!$B$6,0)*'Настройки цен'!$B$6)</f>
        <v/>
      </c>
      <c r="AG189" s="12" t="str">
        <f aca="false">IF(OR(AC189="",H189=""),"",H189/AC189-1)</f>
        <v/>
      </c>
      <c r="AH189" s="7"/>
    </row>
    <row r="190" customFormat="false" ht="15.75" hidden="false" customHeight="true" outlineLevel="0" collapsed="false">
      <c r="B190" s="3" t="s">
        <v>366</v>
      </c>
      <c r="E190" s="3" t="s">
        <v>111</v>
      </c>
      <c r="F190" s="4"/>
      <c r="G190" s="5"/>
      <c r="H190" s="5" t="n">
        <v>2000</v>
      </c>
      <c r="I190" s="3" t="n">
        <v>1</v>
      </c>
      <c r="K190" s="6" t="n">
        <f aca="false">I190-J190</f>
        <v>1</v>
      </c>
      <c r="L190" s="5" t="n">
        <f aca="false">K190*H190</f>
        <v>2000</v>
      </c>
      <c r="M190" s="5" t="str">
        <f aca="false">IF(A190="","",H190*J190)</f>
        <v/>
      </c>
      <c r="N190" s="5" t="str">
        <f aca="false">IF(A190="","",G190*J190)</f>
        <v/>
      </c>
      <c r="O190" s="5" t="str">
        <f aca="false">IF(A190="","",M190-N190)</f>
        <v/>
      </c>
      <c r="Q190" s="7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7" t="n">
        <f aca="false">SUMPRODUCT(--(R190:AA190&gt;0),'Настройки цен'!$B$12:$K$12)</f>
        <v>0</v>
      </c>
      <c r="AC190" s="9" t="str">
        <f aca="false">IF(AB190=0,"",SUMPRODUCT(R190:AA190,'Настройки цен'!$B$11:$K$11,'Настройки цен'!$B$12:$K$12)/AB190)</f>
        <v/>
      </c>
      <c r="AD190" s="10"/>
      <c r="AE190" s="11" t="n">
        <f aca="false">IF(AD190&lt;&gt;"",AD190,IFERROR(IF(INDEX('Настройки цен'!$B$17:$B$24,MATCH(E190,'Настройки цен'!$A$17:$A$24,0))="",'Настройки цен'!$B$5,INDEX('Настройки цен'!$B$17:$B$24,MATCH(E190,'Настройки цен'!$A$17:$A$24,0))),'Настройки цен'!$B$5))</f>
        <v>0</v>
      </c>
      <c r="AF190" s="9" t="str">
        <f aca="false">IF(AC190="","",ROUND(AC190*(1+AE190)/'Настройки цен'!$B$6,0)*'Настройки цен'!$B$6)</f>
        <v/>
      </c>
      <c r="AG190" s="12" t="str">
        <f aca="false">IF(OR(AC190="",H190=""),"",H190/AC190-1)</f>
        <v/>
      </c>
      <c r="AH190" s="7"/>
    </row>
    <row r="191" customFormat="false" ht="15.75" hidden="false" customHeight="true" outlineLevel="0" collapsed="false">
      <c r="A191" s="3" t="s">
        <v>367</v>
      </c>
      <c r="B191" s="3" t="s">
        <v>368</v>
      </c>
      <c r="D191" s="3" t="s">
        <v>66</v>
      </c>
      <c r="E191" s="3" t="s">
        <v>55</v>
      </c>
      <c r="F191" s="4"/>
      <c r="G191" s="5"/>
      <c r="H191" s="5" t="n">
        <v>3000</v>
      </c>
      <c r="I191" s="3" t="n">
        <v>5</v>
      </c>
      <c r="K191" s="6" t="n">
        <f aca="false">I191-J191</f>
        <v>5</v>
      </c>
      <c r="L191" s="5" t="n">
        <f aca="false">K191*H191</f>
        <v>15000</v>
      </c>
      <c r="M191" s="5" t="n">
        <f aca="false">IF(A191="","",H191*J191)</f>
        <v>0</v>
      </c>
      <c r="N191" s="5" t="n">
        <f aca="false">IF(A191="","",G191*J191)</f>
        <v>0</v>
      </c>
      <c r="O191" s="5" t="n">
        <f aca="false">IF(A191="","",M191-N191)</f>
        <v>0</v>
      </c>
      <c r="Q191" s="7" t="s">
        <v>367</v>
      </c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7" t="n">
        <f aca="false">SUMPRODUCT(--(R191:AA191&gt;0),'Настройки цен'!$B$12:$K$12)</f>
        <v>0</v>
      </c>
      <c r="AC191" s="9" t="str">
        <f aca="false">IF(AB191=0,"",SUMPRODUCT(R191:AA191,'Настройки цен'!$B$11:$K$11,'Настройки цен'!$B$12:$K$12)/AB191)</f>
        <v/>
      </c>
      <c r="AD191" s="10"/>
      <c r="AE191" s="11" t="n">
        <f aca="false">IF(AD191&lt;&gt;"",AD191,IFERROR(IF(INDEX('Настройки цен'!$B$17:$B$24,MATCH(E191,'Настройки цен'!$A$17:$A$24,0))="",'Настройки цен'!$B$5,INDEX('Настройки цен'!$B$17:$B$24,MATCH(E191,'Настройки цен'!$A$17:$A$24,0))),'Настройки цен'!$B$5))</f>
        <v>0</v>
      </c>
      <c r="AF191" s="9" t="str">
        <f aca="false">IF(AC191="","",ROUND(AC191*(1+AE191)/'Настройки цен'!$B$6,0)*'Настройки цен'!$B$6)</f>
        <v/>
      </c>
      <c r="AG191" s="12" t="str">
        <f aca="false">IF(OR(AC191="",H191=""),"",H191/AC191-1)</f>
        <v/>
      </c>
      <c r="AH191" s="7"/>
    </row>
    <row r="192" customFormat="false" ht="15.75" hidden="false" customHeight="true" outlineLevel="0" collapsed="false">
      <c r="B192" s="3" t="s">
        <v>369</v>
      </c>
      <c r="D192" s="3" t="s">
        <v>41</v>
      </c>
      <c r="E192" s="3" t="s">
        <v>70</v>
      </c>
      <c r="F192" s="4"/>
      <c r="G192" s="5"/>
      <c r="H192" s="5" t="n">
        <v>4000</v>
      </c>
      <c r="I192" s="3" t="n">
        <v>1</v>
      </c>
      <c r="K192" s="6" t="n">
        <f aca="false">I192-J192</f>
        <v>1</v>
      </c>
      <c r="L192" s="5" t="n">
        <f aca="false">K192*H192</f>
        <v>4000</v>
      </c>
      <c r="M192" s="5" t="str">
        <f aca="false">IF(A192="","",H192*J192)</f>
        <v/>
      </c>
      <c r="N192" s="5" t="str">
        <f aca="false">IF(A192="","",G192*J192)</f>
        <v/>
      </c>
      <c r="O192" s="5" t="str">
        <f aca="false">IF(A192="","",M192-N192)</f>
        <v/>
      </c>
      <c r="Q192" s="7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7" t="n">
        <f aca="false">SUMPRODUCT(--(R192:AA192&gt;0),'Настройки цен'!$B$12:$K$12)</f>
        <v>0</v>
      </c>
      <c r="AC192" s="9" t="str">
        <f aca="false">IF(AB192=0,"",SUMPRODUCT(R192:AA192,'Настройки цен'!$B$11:$K$11,'Настройки цен'!$B$12:$K$12)/AB192)</f>
        <v/>
      </c>
      <c r="AD192" s="10"/>
      <c r="AE192" s="11" t="n">
        <f aca="false">IF(AD192&lt;&gt;"",AD192,IFERROR(IF(INDEX('Настройки цен'!$B$17:$B$24,MATCH(E192,'Настройки цен'!$A$17:$A$24,0))="",'Настройки цен'!$B$5,INDEX('Настройки цен'!$B$17:$B$24,MATCH(E192,'Настройки цен'!$A$17:$A$24,0))),'Настройки цен'!$B$5))</f>
        <v>0</v>
      </c>
      <c r="AF192" s="9" t="str">
        <f aca="false">IF(AC192="","",ROUND(AC192*(1+AE192)/'Настройки цен'!$B$6,0)*'Настройки цен'!$B$6)</f>
        <v/>
      </c>
      <c r="AG192" s="12" t="str">
        <f aca="false">IF(OR(AC192="",H192=""),"",H192/AC192-1)</f>
        <v/>
      </c>
      <c r="AH192" s="7"/>
    </row>
    <row r="193" customFormat="false" ht="15.75" hidden="false" customHeight="true" outlineLevel="0" collapsed="false">
      <c r="B193" s="3" t="s">
        <v>369</v>
      </c>
      <c r="D193" s="3" t="s">
        <v>66</v>
      </c>
      <c r="E193" s="3" t="s">
        <v>70</v>
      </c>
      <c r="F193" s="4"/>
      <c r="G193" s="5"/>
      <c r="H193" s="5" t="n">
        <v>4000</v>
      </c>
      <c r="I193" s="3" t="n">
        <v>3</v>
      </c>
      <c r="K193" s="6" t="n">
        <f aca="false">I193-J193</f>
        <v>3</v>
      </c>
      <c r="L193" s="5" t="n">
        <f aca="false">K193*H193</f>
        <v>12000</v>
      </c>
      <c r="M193" s="5" t="str">
        <f aca="false">IF(A193="","",H193*J193)</f>
        <v/>
      </c>
      <c r="N193" s="5" t="str">
        <f aca="false">IF(A193="","",G193*J193)</f>
        <v/>
      </c>
      <c r="O193" s="5" t="str">
        <f aca="false">IF(A193="","",M193-N193)</f>
        <v/>
      </c>
      <c r="Q193" s="7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7" t="n">
        <f aca="false">SUMPRODUCT(--(R193:AA193&gt;0),'Настройки цен'!$B$12:$K$12)</f>
        <v>0</v>
      </c>
      <c r="AC193" s="9" t="str">
        <f aca="false">IF(AB193=0,"",SUMPRODUCT(R193:AA193,'Настройки цен'!$B$11:$K$11,'Настройки цен'!$B$12:$K$12)/AB193)</f>
        <v/>
      </c>
      <c r="AD193" s="10"/>
      <c r="AE193" s="11" t="n">
        <f aca="false">IF(AD193&lt;&gt;"",AD193,IFERROR(IF(INDEX('Настройки цен'!$B$17:$B$24,MATCH(E193,'Настройки цен'!$A$17:$A$24,0))="",'Настройки цен'!$B$5,INDEX('Настройки цен'!$B$17:$B$24,MATCH(E193,'Настройки цен'!$A$17:$A$24,0))),'Настройки цен'!$B$5))</f>
        <v>0</v>
      </c>
      <c r="AF193" s="9" t="str">
        <f aca="false">IF(AC193="","",ROUND(AC193*(1+AE193)/'Настройки цен'!$B$6,0)*'Настройки цен'!$B$6)</f>
        <v/>
      </c>
      <c r="AG193" s="12" t="str">
        <f aca="false">IF(OR(AC193="",H193=""),"",H193/AC193-1)</f>
        <v/>
      </c>
      <c r="AH193" s="7"/>
    </row>
    <row r="194" customFormat="false" ht="15.75" hidden="false" customHeight="true" outlineLevel="0" collapsed="false">
      <c r="B194" s="3" t="s">
        <v>369</v>
      </c>
      <c r="D194" s="3" t="s">
        <v>69</v>
      </c>
      <c r="E194" s="3" t="s">
        <v>70</v>
      </c>
      <c r="F194" s="4"/>
      <c r="G194" s="5"/>
      <c r="H194" s="5" t="n">
        <v>4000</v>
      </c>
      <c r="I194" s="3" t="n">
        <v>2</v>
      </c>
      <c r="K194" s="6" t="n">
        <f aca="false">I194-J194</f>
        <v>2</v>
      </c>
      <c r="L194" s="5" t="n">
        <f aca="false">K194*H194</f>
        <v>8000</v>
      </c>
      <c r="M194" s="5" t="str">
        <f aca="false">IF(A194="","",H194*J194)</f>
        <v/>
      </c>
      <c r="N194" s="5" t="str">
        <f aca="false">IF(A194="","",G194*J194)</f>
        <v/>
      </c>
      <c r="O194" s="5" t="str">
        <f aca="false">IF(A194="","",M194-N194)</f>
        <v/>
      </c>
      <c r="Q194" s="7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7" t="n">
        <f aca="false">SUMPRODUCT(--(R194:AA194&gt;0),'Настройки цен'!$B$12:$K$12)</f>
        <v>0</v>
      </c>
      <c r="AC194" s="9" t="str">
        <f aca="false">IF(AB194=0,"",SUMPRODUCT(R194:AA194,'Настройки цен'!$B$11:$K$11,'Настройки цен'!$B$12:$K$12)/AB194)</f>
        <v/>
      </c>
      <c r="AD194" s="10"/>
      <c r="AE194" s="11" t="n">
        <f aca="false">IF(AD194&lt;&gt;"",AD194,IFERROR(IF(INDEX('Настройки цен'!$B$17:$B$24,MATCH(E194,'Настройки цен'!$A$17:$A$24,0))="",'Настройки цен'!$B$5,INDEX('Настройки цен'!$B$17:$B$24,MATCH(E194,'Настройки цен'!$A$17:$A$24,0))),'Настройки цен'!$B$5))</f>
        <v>0</v>
      </c>
      <c r="AF194" s="9" t="str">
        <f aca="false">IF(AC194="","",ROUND(AC194*(1+AE194)/'Настройки цен'!$B$6,0)*'Настройки цен'!$B$6)</f>
        <v/>
      </c>
      <c r="AG194" s="12" t="str">
        <f aca="false">IF(OR(AC194="",H194=""),"",H194/AC194-1)</f>
        <v/>
      </c>
      <c r="AH194" s="7"/>
    </row>
    <row r="195" customFormat="false" ht="15.75" hidden="false" customHeight="true" outlineLevel="0" collapsed="false">
      <c r="B195" s="3" t="s">
        <v>370</v>
      </c>
      <c r="D195" s="3" t="s">
        <v>273</v>
      </c>
      <c r="E195" s="3" t="s">
        <v>70</v>
      </c>
      <c r="F195" s="4"/>
      <c r="G195" s="5"/>
      <c r="H195" s="5" t="n">
        <v>7000</v>
      </c>
      <c r="I195" s="3" t="n">
        <v>11</v>
      </c>
      <c r="K195" s="6" t="n">
        <f aca="false">I195-J195</f>
        <v>11</v>
      </c>
      <c r="L195" s="5" t="n">
        <f aca="false">K195*H195</f>
        <v>77000</v>
      </c>
      <c r="M195" s="5" t="str">
        <f aca="false">IF(A195="","",H195*J195)</f>
        <v/>
      </c>
      <c r="N195" s="5" t="str">
        <f aca="false">IF(A195="","",G195*J195)</f>
        <v/>
      </c>
      <c r="O195" s="5" t="str">
        <f aca="false">IF(A195="","",M195-N195)</f>
        <v/>
      </c>
      <c r="Q195" s="7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7" t="n">
        <f aca="false">SUMPRODUCT(--(R195:AA195&gt;0),'Настройки цен'!$B$12:$K$12)</f>
        <v>0</v>
      </c>
      <c r="AC195" s="9" t="str">
        <f aca="false">IF(AB195=0,"",SUMPRODUCT(R195:AA195,'Настройки цен'!$B$11:$K$11,'Настройки цен'!$B$12:$K$12)/AB195)</f>
        <v/>
      </c>
      <c r="AD195" s="10"/>
      <c r="AE195" s="11" t="n">
        <f aca="false">IF(AD195&lt;&gt;"",AD195,IFERROR(IF(INDEX('Настройки цен'!$B$17:$B$24,MATCH(E195,'Настройки цен'!$A$17:$A$24,0))="",'Настройки цен'!$B$5,INDEX('Настройки цен'!$B$17:$B$24,MATCH(E195,'Настройки цен'!$A$17:$A$24,0))),'Настройки цен'!$B$5))</f>
        <v>0</v>
      </c>
      <c r="AF195" s="9" t="str">
        <f aca="false">IF(AC195="","",ROUND(AC195*(1+AE195)/'Настройки цен'!$B$6,0)*'Настройки цен'!$B$6)</f>
        <v/>
      </c>
      <c r="AG195" s="12" t="str">
        <f aca="false">IF(OR(AC195="",H195=""),"",H195/AC195-1)</f>
        <v/>
      </c>
      <c r="AH195" s="7"/>
    </row>
    <row r="196" customFormat="false" ht="15.75" hidden="false" customHeight="true" outlineLevel="0" collapsed="false">
      <c r="A196" s="3" t="n">
        <v>4691803010</v>
      </c>
      <c r="B196" s="3" t="s">
        <v>371</v>
      </c>
      <c r="D196" s="3" t="s">
        <v>41</v>
      </c>
      <c r="E196" s="3" t="s">
        <v>55</v>
      </c>
      <c r="F196" s="4"/>
      <c r="G196" s="5"/>
      <c r="H196" s="5" t="n">
        <v>10000</v>
      </c>
      <c r="I196" s="3" t="n">
        <v>1</v>
      </c>
      <c r="K196" s="6" t="n">
        <f aca="false">I196-J196</f>
        <v>1</v>
      </c>
      <c r="L196" s="5" t="n">
        <f aca="false">K196*H196</f>
        <v>10000</v>
      </c>
      <c r="M196" s="5" t="n">
        <f aca="false">IF(A196="","",H196*J196)</f>
        <v>0</v>
      </c>
      <c r="N196" s="5" t="n">
        <f aca="false">IF(A196="","",G196*J196)</f>
        <v>0</v>
      </c>
      <c r="O196" s="5" t="n">
        <f aca="false">IF(A196="","",M196-N196)</f>
        <v>0</v>
      </c>
      <c r="Q196" s="7" t="s">
        <v>372</v>
      </c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7" t="n">
        <f aca="false">SUMPRODUCT(--(R196:AA196&gt;0),'Настройки цен'!$B$12:$K$12)</f>
        <v>0</v>
      </c>
      <c r="AC196" s="9" t="str">
        <f aca="false">IF(AB196=0,"",SUMPRODUCT(R196:AA196,'Настройки цен'!$B$11:$K$11,'Настройки цен'!$B$12:$K$12)/AB196)</f>
        <v/>
      </c>
      <c r="AD196" s="10"/>
      <c r="AE196" s="11" t="n">
        <f aca="false">IF(AD196&lt;&gt;"",AD196,IFERROR(IF(INDEX('Настройки цен'!$B$17:$B$24,MATCH(E196,'Настройки цен'!$A$17:$A$24,0))="",'Настройки цен'!$B$5,INDEX('Настройки цен'!$B$17:$B$24,MATCH(E196,'Настройки цен'!$A$17:$A$24,0))),'Настройки цен'!$B$5))</f>
        <v>0</v>
      </c>
      <c r="AF196" s="9" t="str">
        <f aca="false">IF(AC196="","",ROUND(AC196*(1+AE196)/'Настройки цен'!$B$6,0)*'Настройки цен'!$B$6)</f>
        <v/>
      </c>
      <c r="AG196" s="12" t="str">
        <f aca="false">IF(OR(AC196="",H196=""),"",H196/AC196-1)</f>
        <v/>
      </c>
      <c r="AH196" s="7"/>
    </row>
    <row r="197" customFormat="false" ht="15.75" hidden="false" customHeight="true" outlineLevel="0" collapsed="false">
      <c r="B197" s="3" t="s">
        <v>373</v>
      </c>
      <c r="D197" s="3" t="s">
        <v>41</v>
      </c>
      <c r="E197" s="3" t="s">
        <v>55</v>
      </c>
      <c r="F197" s="4"/>
      <c r="G197" s="5"/>
      <c r="H197" s="5" t="n">
        <v>1500</v>
      </c>
      <c r="I197" s="3" t="n">
        <v>11</v>
      </c>
      <c r="K197" s="6" t="n">
        <f aca="false">I197-J197</f>
        <v>11</v>
      </c>
      <c r="L197" s="5" t="n">
        <f aca="false">K197*H197</f>
        <v>16500</v>
      </c>
      <c r="M197" s="5" t="str">
        <f aca="false">IF(A197="","",H197*J197)</f>
        <v/>
      </c>
      <c r="N197" s="5" t="str">
        <f aca="false">IF(A197="","",G197*J197)</f>
        <v/>
      </c>
      <c r="O197" s="5" t="str">
        <f aca="false">IF(A197="","",M197-N197)</f>
        <v/>
      </c>
      <c r="Q197" s="7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7" t="n">
        <f aca="false">SUMPRODUCT(--(R197:AA197&gt;0),'Настройки цен'!$B$12:$K$12)</f>
        <v>0</v>
      </c>
      <c r="AC197" s="9" t="str">
        <f aca="false">IF(AB197=0,"",SUMPRODUCT(R197:AA197,'Настройки цен'!$B$11:$K$11,'Настройки цен'!$B$12:$K$12)/AB197)</f>
        <v/>
      </c>
      <c r="AD197" s="10"/>
      <c r="AE197" s="11" t="n">
        <f aca="false">IF(AD197&lt;&gt;"",AD197,IFERROR(IF(INDEX('Настройки цен'!$B$17:$B$24,MATCH(E197,'Настройки цен'!$A$17:$A$24,0))="",'Настройки цен'!$B$5,INDEX('Настройки цен'!$B$17:$B$24,MATCH(E197,'Настройки цен'!$A$17:$A$24,0))),'Настройки цен'!$B$5))</f>
        <v>0</v>
      </c>
      <c r="AF197" s="9" t="str">
        <f aca="false">IF(AC197="","",ROUND(AC197*(1+AE197)/'Настройки цен'!$B$6,0)*'Настройки цен'!$B$6)</f>
        <v/>
      </c>
      <c r="AG197" s="12" t="str">
        <f aca="false">IF(OR(AC197="",H197=""),"",H197/AC197-1)</f>
        <v/>
      </c>
      <c r="AH197" s="7"/>
    </row>
    <row r="198" customFormat="false" ht="15.75" hidden="false" customHeight="true" outlineLevel="0" collapsed="false">
      <c r="B198" s="3" t="s">
        <v>374</v>
      </c>
      <c r="D198" s="3" t="s">
        <v>222</v>
      </c>
      <c r="E198" s="3" t="s">
        <v>111</v>
      </c>
      <c r="F198" s="4"/>
      <c r="G198" s="5"/>
      <c r="H198" s="5" t="n">
        <v>6000</v>
      </c>
      <c r="I198" s="3" t="n">
        <v>1</v>
      </c>
      <c r="K198" s="6" t="n">
        <f aca="false">I198-J198</f>
        <v>1</v>
      </c>
      <c r="L198" s="5" t="n">
        <f aca="false">K198*H198</f>
        <v>6000</v>
      </c>
      <c r="M198" s="5" t="str">
        <f aca="false">IF(A198="","",H198*J198)</f>
        <v/>
      </c>
      <c r="N198" s="5" t="str">
        <f aca="false">IF(A198="","",G198*J198)</f>
        <v/>
      </c>
      <c r="O198" s="5" t="str">
        <f aca="false">IF(A198="","",M198-N198)</f>
        <v/>
      </c>
      <c r="Q198" s="7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7" t="n">
        <f aca="false">SUMPRODUCT(--(R198:AA198&gt;0),'Настройки цен'!$B$12:$K$12)</f>
        <v>0</v>
      </c>
      <c r="AC198" s="9" t="str">
        <f aca="false">IF(AB198=0,"",SUMPRODUCT(R198:AA198,'Настройки цен'!$B$11:$K$11,'Настройки цен'!$B$12:$K$12)/AB198)</f>
        <v/>
      </c>
      <c r="AD198" s="10"/>
      <c r="AE198" s="11" t="n">
        <f aca="false">IF(AD198&lt;&gt;"",AD198,IFERROR(IF(INDEX('Настройки цен'!$B$17:$B$24,MATCH(E198,'Настройки цен'!$A$17:$A$24,0))="",'Настройки цен'!$B$5,INDEX('Настройки цен'!$B$17:$B$24,MATCH(E198,'Настройки цен'!$A$17:$A$24,0))),'Настройки цен'!$B$5))</f>
        <v>0</v>
      </c>
      <c r="AF198" s="9" t="str">
        <f aca="false">IF(AC198="","",ROUND(AC198*(1+AE198)/'Настройки цен'!$B$6,0)*'Настройки цен'!$B$6)</f>
        <v/>
      </c>
      <c r="AG198" s="12" t="str">
        <f aca="false">IF(OR(AC198="",H198=""),"",H198/AC198-1)</f>
        <v/>
      </c>
      <c r="AH198" s="7"/>
    </row>
    <row r="199" customFormat="false" ht="15.75" hidden="false" customHeight="true" outlineLevel="0" collapsed="false">
      <c r="B199" s="3" t="s">
        <v>375</v>
      </c>
      <c r="D199" s="3" t="s">
        <v>273</v>
      </c>
      <c r="E199" s="3" t="s">
        <v>37</v>
      </c>
      <c r="F199" s="4"/>
      <c r="G199" s="5"/>
      <c r="H199" s="5" t="n">
        <v>5000</v>
      </c>
      <c r="I199" s="3" t="n">
        <v>3</v>
      </c>
      <c r="K199" s="6" t="n">
        <f aca="false">I199-J199</f>
        <v>3</v>
      </c>
      <c r="L199" s="5" t="n">
        <f aca="false">K199*H199</f>
        <v>15000</v>
      </c>
      <c r="M199" s="5" t="str">
        <f aca="false">IF(A199="","",H199*J199)</f>
        <v/>
      </c>
      <c r="N199" s="5" t="str">
        <f aca="false">IF(A199="","",G199*J199)</f>
        <v/>
      </c>
      <c r="O199" s="5" t="str">
        <f aca="false">IF(A199="","",M199-N199)</f>
        <v/>
      </c>
      <c r="Q199" s="7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7" t="n">
        <f aca="false">SUMPRODUCT(--(R199:AA199&gt;0),'Настройки цен'!$B$12:$K$12)</f>
        <v>0</v>
      </c>
      <c r="AC199" s="9" t="str">
        <f aca="false">IF(AB199=0,"",SUMPRODUCT(R199:AA199,'Настройки цен'!$B$11:$K$11,'Настройки цен'!$B$12:$K$12)/AB199)</f>
        <v/>
      </c>
      <c r="AD199" s="10"/>
      <c r="AE199" s="11" t="n">
        <f aca="false">IF(AD199&lt;&gt;"",AD199,IFERROR(IF(INDEX('Настройки цен'!$B$17:$B$24,MATCH(E199,'Настройки цен'!$A$17:$A$24,0))="",'Настройки цен'!$B$5,INDEX('Настройки цен'!$B$17:$B$24,MATCH(E199,'Настройки цен'!$A$17:$A$24,0))),'Настройки цен'!$B$5))</f>
        <v>0</v>
      </c>
      <c r="AF199" s="9" t="str">
        <f aca="false">IF(AC199="","",ROUND(AC199*(1+AE199)/'Настройки цен'!$B$6,0)*'Настройки цен'!$B$6)</f>
        <v/>
      </c>
      <c r="AG199" s="12" t="str">
        <f aca="false">IF(OR(AC199="",H199=""),"",H199/AC199-1)</f>
        <v/>
      </c>
      <c r="AH199" s="7"/>
    </row>
    <row r="200" customFormat="false" ht="15.75" hidden="false" customHeight="true" outlineLevel="0" collapsed="false">
      <c r="B200" s="3" t="s">
        <v>376</v>
      </c>
      <c r="D200" s="3" t="s">
        <v>273</v>
      </c>
      <c r="E200" s="3" t="s">
        <v>70</v>
      </c>
      <c r="F200" s="4"/>
      <c r="G200" s="5"/>
      <c r="H200" s="5" t="n">
        <v>1500</v>
      </c>
      <c r="I200" s="3" t="n">
        <v>60</v>
      </c>
      <c r="K200" s="6" t="n">
        <f aca="false">I200-J200</f>
        <v>60</v>
      </c>
      <c r="L200" s="5" t="n">
        <f aca="false">K200*H200</f>
        <v>90000</v>
      </c>
      <c r="M200" s="5" t="str">
        <f aca="false">IF(A200="","",H200*J200)</f>
        <v/>
      </c>
      <c r="N200" s="5" t="str">
        <f aca="false">IF(A200="","",G200*J200)</f>
        <v/>
      </c>
      <c r="O200" s="5" t="str">
        <f aca="false">IF(A200="","",M200-N200)</f>
        <v/>
      </c>
      <c r="Q200" s="7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7" t="n">
        <f aca="false">SUMPRODUCT(--(R200:AA200&gt;0),'Настройки цен'!$B$12:$K$12)</f>
        <v>0</v>
      </c>
      <c r="AC200" s="9" t="str">
        <f aca="false">IF(AB200=0,"",SUMPRODUCT(R200:AA200,'Настройки цен'!$B$11:$K$11,'Настройки цен'!$B$12:$K$12)/AB200)</f>
        <v/>
      </c>
      <c r="AD200" s="10"/>
      <c r="AE200" s="11" t="n">
        <f aca="false">IF(AD200&lt;&gt;"",AD200,IFERROR(IF(INDEX('Настройки цен'!$B$17:$B$24,MATCH(E200,'Настройки цен'!$A$17:$A$24,0))="",'Настройки цен'!$B$5,INDEX('Настройки цен'!$B$17:$B$24,MATCH(E200,'Настройки цен'!$A$17:$A$24,0))),'Настройки цен'!$B$5))</f>
        <v>0</v>
      </c>
      <c r="AF200" s="9" t="str">
        <f aca="false">IF(AC200="","",ROUND(AC200*(1+AE200)/'Настройки цен'!$B$6,0)*'Настройки цен'!$B$6)</f>
        <v/>
      </c>
      <c r="AG200" s="12" t="str">
        <f aca="false">IF(OR(AC200="",H200=""),"",H200/AC200-1)</f>
        <v/>
      </c>
      <c r="AH200" s="7"/>
    </row>
    <row r="201" customFormat="false" ht="15.75" hidden="false" customHeight="true" outlineLevel="0" collapsed="false">
      <c r="A201" s="3" t="n">
        <v>241308010</v>
      </c>
      <c r="B201" s="3" t="s">
        <v>377</v>
      </c>
      <c r="D201" s="3" t="s">
        <v>273</v>
      </c>
      <c r="E201" s="3" t="s">
        <v>70</v>
      </c>
      <c r="F201" s="4"/>
      <c r="G201" s="5"/>
      <c r="H201" s="5" t="n">
        <v>3000</v>
      </c>
      <c r="I201" s="3" t="n">
        <v>1</v>
      </c>
      <c r="K201" s="6" t="n">
        <f aca="false">I201-J201</f>
        <v>1</v>
      </c>
      <c r="L201" s="5" t="n">
        <f aca="false">K201*H201</f>
        <v>3000</v>
      </c>
      <c r="M201" s="5" t="n">
        <f aca="false">IF(A201="","",H201*J201)</f>
        <v>0</v>
      </c>
      <c r="N201" s="5" t="n">
        <f aca="false">IF(A201="","",G201*J201)</f>
        <v>0</v>
      </c>
      <c r="O201" s="5" t="n">
        <f aca="false">IF(A201="","",M201-N201)</f>
        <v>0</v>
      </c>
      <c r="Q201" s="7" t="s">
        <v>378</v>
      </c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7" t="n">
        <f aca="false">SUMPRODUCT(--(R201:AA201&gt;0),'Настройки цен'!$B$12:$K$12)</f>
        <v>0</v>
      </c>
      <c r="AC201" s="9" t="str">
        <f aca="false">IF(AB201=0,"",SUMPRODUCT(R201:AA201,'Настройки цен'!$B$11:$K$11,'Настройки цен'!$B$12:$K$12)/AB201)</f>
        <v/>
      </c>
      <c r="AD201" s="10"/>
      <c r="AE201" s="11" t="n">
        <f aca="false">IF(AD201&lt;&gt;"",AD201,IFERROR(IF(INDEX('Настройки цен'!$B$17:$B$24,MATCH(E201,'Настройки цен'!$A$17:$A$24,0))="",'Настройки цен'!$B$5,INDEX('Настройки цен'!$B$17:$B$24,MATCH(E201,'Настройки цен'!$A$17:$A$24,0))),'Настройки цен'!$B$5))</f>
        <v>0</v>
      </c>
      <c r="AF201" s="9" t="str">
        <f aca="false">IF(AC201="","",ROUND(AC201*(1+AE201)/'Настройки цен'!$B$6,0)*'Настройки цен'!$B$6)</f>
        <v/>
      </c>
      <c r="AG201" s="12" t="str">
        <f aca="false">IF(OR(AC201="",H201=""),"",H201/AC201-1)</f>
        <v/>
      </c>
      <c r="AH201" s="7"/>
    </row>
    <row r="202" customFormat="false" ht="15.75" hidden="false" customHeight="true" outlineLevel="0" collapsed="false">
      <c r="A202" s="3" t="n">
        <v>52170111920</v>
      </c>
      <c r="B202" s="3" t="s">
        <v>379</v>
      </c>
      <c r="D202" s="3" t="s">
        <v>242</v>
      </c>
      <c r="E202" s="3" t="s">
        <v>55</v>
      </c>
      <c r="F202" s="4"/>
      <c r="G202" s="5"/>
      <c r="H202" s="5" t="n">
        <v>7000</v>
      </c>
      <c r="I202" s="3" t="n">
        <v>1</v>
      </c>
      <c r="K202" s="6" t="n">
        <f aca="false">I202-J202</f>
        <v>1</v>
      </c>
      <c r="L202" s="5" t="n">
        <f aca="false">K202*H202</f>
        <v>7000</v>
      </c>
      <c r="M202" s="5" t="n">
        <f aca="false">IF(A202="","",H202*J202)</f>
        <v>0</v>
      </c>
      <c r="N202" s="5" t="n">
        <f aca="false">IF(A202="","",G202*J202)</f>
        <v>0</v>
      </c>
      <c r="O202" s="5" t="n">
        <f aca="false">IF(A202="","",M202-N202)</f>
        <v>0</v>
      </c>
      <c r="Q202" s="7" t="s">
        <v>380</v>
      </c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7" t="n">
        <f aca="false">SUMPRODUCT(--(R202:AA202&gt;0),'Настройки цен'!$B$12:$K$12)</f>
        <v>0</v>
      </c>
      <c r="AC202" s="9" t="str">
        <f aca="false">IF(AB202=0,"",SUMPRODUCT(R202:AA202,'Настройки цен'!$B$11:$K$11,'Настройки цен'!$B$12:$K$12)/AB202)</f>
        <v/>
      </c>
      <c r="AD202" s="10"/>
      <c r="AE202" s="11" t="n">
        <f aca="false">IF(AD202&lt;&gt;"",AD202,IFERROR(IF(INDEX('Настройки цен'!$B$17:$B$24,MATCH(E202,'Настройки цен'!$A$17:$A$24,0))="",'Настройки цен'!$B$5,INDEX('Настройки цен'!$B$17:$B$24,MATCH(E202,'Настройки цен'!$A$17:$A$24,0))),'Настройки цен'!$B$5))</f>
        <v>0</v>
      </c>
      <c r="AF202" s="9" t="str">
        <f aca="false">IF(AC202="","",ROUND(AC202*(1+AE202)/'Настройки цен'!$B$6,0)*'Настройки цен'!$B$6)</f>
        <v/>
      </c>
      <c r="AG202" s="12" t="str">
        <f aca="false">IF(OR(AC202="",H202=""),"",H202/AC202-1)</f>
        <v/>
      </c>
      <c r="AH202" s="7"/>
    </row>
    <row r="203" customFormat="false" ht="15.75" hidden="false" customHeight="true" outlineLevel="0" collapsed="false">
      <c r="A203" s="3" t="n">
        <v>316000230402312</v>
      </c>
      <c r="B203" s="3" t="s">
        <v>381</v>
      </c>
      <c r="D203" s="3" t="s">
        <v>41</v>
      </c>
      <c r="E203" s="3" t="s">
        <v>55</v>
      </c>
      <c r="F203" s="4"/>
      <c r="G203" s="5"/>
      <c r="H203" s="5" t="n">
        <v>1000</v>
      </c>
      <c r="I203" s="3" t="n">
        <v>11</v>
      </c>
      <c r="K203" s="6" t="n">
        <f aca="false">I203-J203</f>
        <v>11</v>
      </c>
      <c r="L203" s="5" t="n">
        <f aca="false">K203*H203</f>
        <v>11000</v>
      </c>
      <c r="M203" s="5" t="n">
        <f aca="false">IF(A203="","",H203*J203)</f>
        <v>0</v>
      </c>
      <c r="N203" s="5" t="n">
        <f aca="false">IF(A203="","",G203*J203)</f>
        <v>0</v>
      </c>
      <c r="O203" s="5" t="n">
        <f aca="false">IF(A203="","",M203-N203)</f>
        <v>0</v>
      </c>
      <c r="Q203" s="7" t="s">
        <v>382</v>
      </c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7" t="n">
        <f aca="false">SUMPRODUCT(--(R203:AA203&gt;0),'Настройки цен'!$B$12:$K$12)</f>
        <v>0</v>
      </c>
      <c r="AC203" s="9" t="str">
        <f aca="false">IF(AB203=0,"",SUMPRODUCT(R203:AA203,'Настройки цен'!$B$11:$K$11,'Настройки цен'!$B$12:$K$12)/AB203)</f>
        <v/>
      </c>
      <c r="AD203" s="10"/>
      <c r="AE203" s="11" t="n">
        <f aca="false">IF(AD203&lt;&gt;"",AD203,IFERROR(IF(INDEX('Настройки цен'!$B$17:$B$24,MATCH(E203,'Настройки цен'!$A$17:$A$24,0))="",'Настройки цен'!$B$5,INDEX('Настройки цен'!$B$17:$B$24,MATCH(E203,'Настройки цен'!$A$17:$A$24,0))),'Настройки цен'!$B$5))</f>
        <v>0</v>
      </c>
      <c r="AF203" s="9" t="str">
        <f aca="false">IF(AC203="","",ROUND(AC203*(1+AE203)/'Настройки цен'!$B$6,0)*'Настройки цен'!$B$6)</f>
        <v/>
      </c>
      <c r="AG203" s="12" t="str">
        <f aca="false">IF(OR(AC203="",H203=""),"",H203/AC203-1)</f>
        <v/>
      </c>
      <c r="AH203" s="7"/>
    </row>
    <row r="204" customFormat="false" ht="15.75" hidden="false" customHeight="true" outlineLevel="0" collapsed="false">
      <c r="B204" s="3" t="s">
        <v>383</v>
      </c>
      <c r="D204" s="3" t="s">
        <v>273</v>
      </c>
      <c r="E204" s="3" t="s">
        <v>70</v>
      </c>
      <c r="F204" s="4"/>
      <c r="G204" s="5"/>
      <c r="H204" s="5" t="n">
        <v>1500</v>
      </c>
      <c r="I204" s="3" t="n">
        <v>11</v>
      </c>
      <c r="K204" s="6" t="n">
        <f aca="false">I204-J204</f>
        <v>11</v>
      </c>
      <c r="L204" s="5" t="n">
        <f aca="false">K204*H204</f>
        <v>16500</v>
      </c>
      <c r="M204" s="5" t="str">
        <f aca="false">IF(A204="","",H204*J204)</f>
        <v/>
      </c>
      <c r="N204" s="5" t="str">
        <f aca="false">IF(A204="","",G204*J204)</f>
        <v/>
      </c>
      <c r="O204" s="5" t="str">
        <f aca="false">IF(A204="","",M204-N204)</f>
        <v/>
      </c>
      <c r="Q204" s="7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7" t="n">
        <f aca="false">SUMPRODUCT(--(R204:AA204&gt;0),'Настройки цен'!$B$12:$K$12)</f>
        <v>0</v>
      </c>
      <c r="AC204" s="9" t="str">
        <f aca="false">IF(AB204=0,"",SUMPRODUCT(R204:AA204,'Настройки цен'!$B$11:$K$11,'Настройки цен'!$B$12:$K$12)/AB204)</f>
        <v/>
      </c>
      <c r="AD204" s="10"/>
      <c r="AE204" s="11" t="n">
        <f aca="false">IF(AD204&lt;&gt;"",AD204,IFERROR(IF(INDEX('Настройки цен'!$B$17:$B$24,MATCH(E204,'Настройки цен'!$A$17:$A$24,0))="",'Настройки цен'!$B$5,INDEX('Настройки цен'!$B$17:$B$24,MATCH(E204,'Настройки цен'!$A$17:$A$24,0))),'Настройки цен'!$B$5))</f>
        <v>0</v>
      </c>
      <c r="AF204" s="9" t="str">
        <f aca="false">IF(AC204="","",ROUND(AC204*(1+AE204)/'Настройки цен'!$B$6,0)*'Настройки цен'!$B$6)</f>
        <v/>
      </c>
      <c r="AG204" s="12" t="str">
        <f aca="false">IF(OR(AC204="",H204=""),"",H204/AC204-1)</f>
        <v/>
      </c>
      <c r="AH204" s="7"/>
    </row>
    <row r="205" customFormat="false" ht="15.75" hidden="false" customHeight="true" outlineLevel="0" collapsed="false">
      <c r="A205" s="3" t="n">
        <v>402600131701020</v>
      </c>
      <c r="B205" s="3" t="s">
        <v>384</v>
      </c>
      <c r="D205" s="3" t="s">
        <v>273</v>
      </c>
      <c r="E205" s="3" t="s">
        <v>70</v>
      </c>
      <c r="F205" s="4"/>
      <c r="G205" s="5"/>
      <c r="H205" s="5" t="n">
        <v>40000</v>
      </c>
      <c r="I205" s="3" t="n">
        <v>1</v>
      </c>
      <c r="K205" s="6" t="n">
        <f aca="false">I205-J205</f>
        <v>1</v>
      </c>
      <c r="L205" s="5" t="n">
        <f aca="false">K205*H205</f>
        <v>40000</v>
      </c>
      <c r="M205" s="5" t="n">
        <f aca="false">IF(A205="","",H205*J205)</f>
        <v>0</v>
      </c>
      <c r="N205" s="5" t="n">
        <f aca="false">IF(A205="","",G205*J205)</f>
        <v>0</v>
      </c>
      <c r="O205" s="5" t="n">
        <f aca="false">IF(A205="","",M205-N205)</f>
        <v>0</v>
      </c>
      <c r="Q205" s="7" t="s">
        <v>385</v>
      </c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7" t="n">
        <f aca="false">SUMPRODUCT(--(R205:AA205&gt;0),'Настройки цен'!$B$12:$K$12)</f>
        <v>0</v>
      </c>
      <c r="AC205" s="9" t="str">
        <f aca="false">IF(AB205=0,"",SUMPRODUCT(R205:AA205,'Настройки цен'!$B$11:$K$11,'Настройки цен'!$B$12:$K$12)/AB205)</f>
        <v/>
      </c>
      <c r="AD205" s="10"/>
      <c r="AE205" s="11" t="n">
        <f aca="false">IF(AD205&lt;&gt;"",AD205,IFERROR(IF(INDEX('Настройки цен'!$B$17:$B$24,MATCH(E205,'Настройки цен'!$A$17:$A$24,0))="",'Настройки цен'!$B$5,INDEX('Настройки цен'!$B$17:$B$24,MATCH(E205,'Настройки цен'!$A$17:$A$24,0))),'Настройки цен'!$B$5))</f>
        <v>0</v>
      </c>
      <c r="AF205" s="9" t="str">
        <f aca="false">IF(AC205="","",ROUND(AC205*(1+AE205)/'Настройки цен'!$B$6,0)*'Настройки цен'!$B$6)</f>
        <v/>
      </c>
      <c r="AG205" s="12" t="str">
        <f aca="false">IF(OR(AC205="",H205=""),"",H205/AC205-1)</f>
        <v/>
      </c>
      <c r="AH205" s="7"/>
    </row>
    <row r="206" customFormat="false" ht="15.75" hidden="false" customHeight="true" outlineLevel="0" collapsed="false">
      <c r="B206" s="3" t="s">
        <v>386</v>
      </c>
      <c r="D206" s="3" t="s">
        <v>41</v>
      </c>
      <c r="E206" s="3" t="s">
        <v>37</v>
      </c>
      <c r="F206" s="4"/>
      <c r="G206" s="5"/>
      <c r="H206" s="5" t="n">
        <v>3000</v>
      </c>
      <c r="I206" s="3" t="n">
        <v>11</v>
      </c>
      <c r="K206" s="6" t="n">
        <f aca="false">I206-J206</f>
        <v>11</v>
      </c>
      <c r="L206" s="5" t="n">
        <f aca="false">K206*H206</f>
        <v>33000</v>
      </c>
      <c r="M206" s="5" t="str">
        <f aca="false">IF(A206="","",H206*J206)</f>
        <v/>
      </c>
      <c r="N206" s="5" t="str">
        <f aca="false">IF(A206="","",G206*J206)</f>
        <v/>
      </c>
      <c r="O206" s="5" t="str">
        <f aca="false">IF(A206="","",M206-N206)</f>
        <v/>
      </c>
      <c r="Q206" s="7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7" t="n">
        <f aca="false">SUMPRODUCT(--(R206:AA206&gt;0),'Настройки цен'!$B$12:$K$12)</f>
        <v>0</v>
      </c>
      <c r="AC206" s="9" t="str">
        <f aca="false">IF(AB206=0,"",SUMPRODUCT(R206:AA206,'Настройки цен'!$B$11:$K$11,'Настройки цен'!$B$12:$K$12)/AB206)</f>
        <v/>
      </c>
      <c r="AD206" s="10"/>
      <c r="AE206" s="11" t="n">
        <f aca="false">IF(AD206&lt;&gt;"",AD206,IFERROR(IF(INDEX('Настройки цен'!$B$17:$B$24,MATCH(E206,'Настройки цен'!$A$17:$A$24,0))="",'Настройки цен'!$B$5,INDEX('Настройки цен'!$B$17:$B$24,MATCH(E206,'Настройки цен'!$A$17:$A$24,0))),'Настройки цен'!$B$5))</f>
        <v>0</v>
      </c>
      <c r="AF206" s="9" t="str">
        <f aca="false">IF(AC206="","",ROUND(AC206*(1+AE206)/'Настройки цен'!$B$6,0)*'Настройки цен'!$B$6)</f>
        <v/>
      </c>
      <c r="AG206" s="12" t="str">
        <f aca="false">IF(OR(AC206="",H206=""),"",H206/AC206-1)</f>
        <v/>
      </c>
      <c r="AH206" s="7"/>
    </row>
    <row r="207" customFormat="false" ht="15.75" hidden="false" customHeight="true" outlineLevel="0" collapsed="false">
      <c r="A207" s="3" t="s">
        <v>387</v>
      </c>
      <c r="B207" s="3" t="s">
        <v>388</v>
      </c>
      <c r="D207" s="3" t="s">
        <v>41</v>
      </c>
      <c r="E207" s="3" t="s">
        <v>55</v>
      </c>
      <c r="F207" s="4"/>
      <c r="G207" s="5"/>
      <c r="H207" s="5" t="n">
        <v>4000</v>
      </c>
      <c r="I207" s="3" t="n">
        <v>2</v>
      </c>
      <c r="K207" s="6" t="n">
        <f aca="false">I207-J207</f>
        <v>2</v>
      </c>
      <c r="L207" s="5" t="n">
        <f aca="false">K207*H207</f>
        <v>8000</v>
      </c>
      <c r="M207" s="5" t="n">
        <f aca="false">IF(A207="","",H207*J207)</f>
        <v>0</v>
      </c>
      <c r="N207" s="5" t="n">
        <f aca="false">IF(A207="","",G207*J207)</f>
        <v>0</v>
      </c>
      <c r="O207" s="5" t="n">
        <f aca="false">IF(A207="","",M207-N207)</f>
        <v>0</v>
      </c>
      <c r="Q207" s="7" t="s">
        <v>387</v>
      </c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7" t="n">
        <f aca="false">SUMPRODUCT(--(R207:AA207&gt;0),'Настройки цен'!$B$12:$K$12)</f>
        <v>0</v>
      </c>
      <c r="AC207" s="9" t="str">
        <f aca="false">IF(AB207=0,"",SUMPRODUCT(R207:AA207,'Настройки цен'!$B$11:$K$11,'Настройки цен'!$B$12:$K$12)/AB207)</f>
        <v/>
      </c>
      <c r="AD207" s="10"/>
      <c r="AE207" s="11" t="n">
        <f aca="false">IF(AD207&lt;&gt;"",AD207,IFERROR(IF(INDEX('Настройки цен'!$B$17:$B$24,MATCH(E207,'Настройки цен'!$A$17:$A$24,0))="",'Настройки цен'!$B$5,INDEX('Настройки цен'!$B$17:$B$24,MATCH(E207,'Настройки цен'!$A$17:$A$24,0))),'Настройки цен'!$B$5))</f>
        <v>0</v>
      </c>
      <c r="AF207" s="9" t="str">
        <f aca="false">IF(AC207="","",ROUND(AC207*(1+AE207)/'Настройки цен'!$B$6,0)*'Настройки цен'!$B$6)</f>
        <v/>
      </c>
      <c r="AG207" s="12" t="str">
        <f aca="false">IF(OR(AC207="",H207=""),"",H207/AC207-1)</f>
        <v/>
      </c>
      <c r="AH207" s="7"/>
    </row>
    <row r="208" customFormat="false" ht="15.75" hidden="false" customHeight="true" outlineLevel="0" collapsed="false">
      <c r="A208" s="3" t="s">
        <v>389</v>
      </c>
      <c r="B208" s="3" t="s">
        <v>390</v>
      </c>
      <c r="E208" s="3" t="s">
        <v>111</v>
      </c>
      <c r="F208" s="4"/>
      <c r="G208" s="5"/>
      <c r="H208" s="5" t="n">
        <v>4000</v>
      </c>
      <c r="I208" s="3" t="n">
        <v>3</v>
      </c>
      <c r="K208" s="6" t="n">
        <f aca="false">I208-J208</f>
        <v>3</v>
      </c>
      <c r="L208" s="5" t="n">
        <f aca="false">K208*H208</f>
        <v>12000</v>
      </c>
      <c r="M208" s="5" t="n">
        <f aca="false">IF(A208="","",H208*J208)</f>
        <v>0</v>
      </c>
      <c r="N208" s="5" t="n">
        <f aca="false">IF(A208="","",G208*J208)</f>
        <v>0</v>
      </c>
      <c r="O208" s="5" t="n">
        <f aca="false">IF(A208="","",M208-N208)</f>
        <v>0</v>
      </c>
      <c r="Q208" s="7" t="s">
        <v>389</v>
      </c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7" t="n">
        <f aca="false">SUMPRODUCT(--(R208:AA208&gt;0),'Настройки цен'!$B$12:$K$12)</f>
        <v>0</v>
      </c>
      <c r="AC208" s="9" t="str">
        <f aca="false">IF(AB208=0,"",SUMPRODUCT(R208:AA208,'Настройки цен'!$B$11:$K$11,'Настройки цен'!$B$12:$K$12)/AB208)</f>
        <v/>
      </c>
      <c r="AD208" s="10"/>
      <c r="AE208" s="11" t="n">
        <f aca="false">IF(AD208&lt;&gt;"",AD208,IFERROR(IF(INDEX('Настройки цен'!$B$17:$B$24,MATCH(E208,'Настройки цен'!$A$17:$A$24,0))="",'Настройки цен'!$B$5,INDEX('Настройки цен'!$B$17:$B$24,MATCH(E208,'Настройки цен'!$A$17:$A$24,0))),'Настройки цен'!$B$5))</f>
        <v>0</v>
      </c>
      <c r="AF208" s="9" t="str">
        <f aca="false">IF(AC208="","",ROUND(AC208*(1+AE208)/'Настройки цен'!$B$6,0)*'Настройки цен'!$B$6)</f>
        <v/>
      </c>
      <c r="AG208" s="12" t="str">
        <f aca="false">IF(OR(AC208="",H208=""),"",H208/AC208-1)</f>
        <v/>
      </c>
      <c r="AH208" s="7"/>
    </row>
    <row r="209" customFormat="false" ht="15.75" hidden="false" customHeight="true" outlineLevel="0" collapsed="false">
      <c r="B209" s="3" t="s">
        <v>391</v>
      </c>
      <c r="E209" s="3" t="s">
        <v>111</v>
      </c>
      <c r="F209" s="4"/>
      <c r="G209" s="5"/>
      <c r="H209" s="5" t="n">
        <v>4000</v>
      </c>
      <c r="I209" s="3" t="n">
        <v>2</v>
      </c>
      <c r="K209" s="6" t="n">
        <f aca="false">I209-J209</f>
        <v>2</v>
      </c>
      <c r="L209" s="5" t="n">
        <f aca="false">K209*H209</f>
        <v>8000</v>
      </c>
      <c r="M209" s="5" t="str">
        <f aca="false">IF(A209="","",H209*J209)</f>
        <v/>
      </c>
      <c r="N209" s="5" t="str">
        <f aca="false">IF(A209="","",G209*J209)</f>
        <v/>
      </c>
      <c r="O209" s="5" t="str">
        <f aca="false">IF(A209="","",M209-N209)</f>
        <v/>
      </c>
      <c r="Q209" s="7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7" t="n">
        <f aca="false">SUMPRODUCT(--(R209:AA209&gt;0),'Настройки цен'!$B$12:$K$12)</f>
        <v>0</v>
      </c>
      <c r="AC209" s="9" t="str">
        <f aca="false">IF(AB209=0,"",SUMPRODUCT(R209:AA209,'Настройки цен'!$B$11:$K$11,'Настройки цен'!$B$12:$K$12)/AB209)</f>
        <v/>
      </c>
      <c r="AD209" s="10"/>
      <c r="AE209" s="11" t="n">
        <f aca="false">IF(AD209&lt;&gt;"",AD209,IFERROR(IF(INDEX('Настройки цен'!$B$17:$B$24,MATCH(E209,'Настройки цен'!$A$17:$A$24,0))="",'Настройки цен'!$B$5,INDEX('Настройки цен'!$B$17:$B$24,MATCH(E209,'Настройки цен'!$A$17:$A$24,0))),'Настройки цен'!$B$5))</f>
        <v>0</v>
      </c>
      <c r="AF209" s="9" t="str">
        <f aca="false">IF(AC209="","",ROUND(AC209*(1+AE209)/'Настройки цен'!$B$6,0)*'Настройки цен'!$B$6)</f>
        <v/>
      </c>
      <c r="AG209" s="12" t="str">
        <f aca="false">IF(OR(AC209="",H209=""),"",H209/AC209-1)</f>
        <v/>
      </c>
      <c r="AH209" s="7"/>
    </row>
    <row r="210" customFormat="false" ht="15.75" hidden="false" customHeight="true" outlineLevel="0" collapsed="false">
      <c r="B210" s="3" t="s">
        <v>392</v>
      </c>
      <c r="E210" s="3" t="s">
        <v>111</v>
      </c>
      <c r="F210" s="4"/>
      <c r="G210" s="5"/>
      <c r="H210" s="5" t="n">
        <v>4000</v>
      </c>
      <c r="I210" s="3" t="n">
        <v>1</v>
      </c>
      <c r="K210" s="6" t="n">
        <f aca="false">I210-J210</f>
        <v>1</v>
      </c>
      <c r="L210" s="5" t="n">
        <f aca="false">K210*H210</f>
        <v>4000</v>
      </c>
      <c r="M210" s="5" t="str">
        <f aca="false">IF(A210="","",H210*J210)</f>
        <v/>
      </c>
      <c r="N210" s="5" t="str">
        <f aca="false">IF(A210="","",G210*J210)</f>
        <v/>
      </c>
      <c r="O210" s="5" t="str">
        <f aca="false">IF(A210="","",M210-N210)</f>
        <v/>
      </c>
      <c r="Q210" s="7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7" t="n">
        <f aca="false">SUMPRODUCT(--(R210:AA210&gt;0),'Настройки цен'!$B$12:$K$12)</f>
        <v>0</v>
      </c>
      <c r="AC210" s="9" t="str">
        <f aca="false">IF(AB210=0,"",SUMPRODUCT(R210:AA210,'Настройки цен'!$B$11:$K$11,'Настройки цен'!$B$12:$K$12)/AB210)</f>
        <v/>
      </c>
      <c r="AD210" s="10"/>
      <c r="AE210" s="11" t="n">
        <f aca="false">IF(AD210&lt;&gt;"",AD210,IFERROR(IF(INDEX('Настройки цен'!$B$17:$B$24,MATCH(E210,'Настройки цен'!$A$17:$A$24,0))="",'Настройки цен'!$B$5,INDEX('Настройки цен'!$B$17:$B$24,MATCH(E210,'Настройки цен'!$A$17:$A$24,0))),'Настройки цен'!$B$5))</f>
        <v>0</v>
      </c>
      <c r="AF210" s="9" t="str">
        <f aca="false">IF(AC210="","",ROUND(AC210*(1+AE210)/'Настройки цен'!$B$6,0)*'Настройки цен'!$B$6)</f>
        <v/>
      </c>
      <c r="AG210" s="12" t="str">
        <f aca="false">IF(OR(AC210="",H210=""),"",H210/AC210-1)</f>
        <v/>
      </c>
      <c r="AH210" s="7"/>
    </row>
    <row r="211" customFormat="false" ht="15.75" hidden="false" customHeight="true" outlineLevel="0" collapsed="false">
      <c r="B211" s="3" t="s">
        <v>393</v>
      </c>
      <c r="D211" s="3" t="s">
        <v>41</v>
      </c>
      <c r="E211" s="3" t="s">
        <v>55</v>
      </c>
      <c r="F211" s="4"/>
      <c r="G211" s="5"/>
      <c r="H211" s="5" t="n">
        <v>12000</v>
      </c>
      <c r="I211" s="3" t="n">
        <v>3</v>
      </c>
      <c r="K211" s="6" t="n">
        <f aca="false">I211-J211</f>
        <v>3</v>
      </c>
      <c r="L211" s="5" t="n">
        <f aca="false">K211*H211</f>
        <v>36000</v>
      </c>
      <c r="M211" s="5" t="str">
        <f aca="false">IF(A211="","",H211*J211)</f>
        <v/>
      </c>
      <c r="N211" s="5" t="str">
        <f aca="false">IF(A211="","",G211*J211)</f>
        <v/>
      </c>
      <c r="O211" s="5" t="str">
        <f aca="false">IF(A211="","",M211-N211)</f>
        <v/>
      </c>
      <c r="Q211" s="7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7" t="n">
        <f aca="false">SUMPRODUCT(--(R211:AA211&gt;0),'Настройки цен'!$B$12:$K$12)</f>
        <v>0</v>
      </c>
      <c r="AC211" s="9" t="str">
        <f aca="false">IF(AB211=0,"",SUMPRODUCT(R211:AA211,'Настройки цен'!$B$11:$K$11,'Настройки цен'!$B$12:$K$12)/AB211)</f>
        <v/>
      </c>
      <c r="AD211" s="10"/>
      <c r="AE211" s="11" t="n">
        <f aca="false">IF(AD211&lt;&gt;"",AD211,IFERROR(IF(INDEX('Настройки цен'!$B$17:$B$24,MATCH(E211,'Настройки цен'!$A$17:$A$24,0))="",'Настройки цен'!$B$5,INDEX('Настройки цен'!$B$17:$B$24,MATCH(E211,'Настройки цен'!$A$17:$A$24,0))),'Настройки цен'!$B$5))</f>
        <v>0</v>
      </c>
      <c r="AF211" s="9" t="str">
        <f aca="false">IF(AC211="","",ROUND(AC211*(1+AE211)/'Настройки цен'!$B$6,0)*'Настройки цен'!$B$6)</f>
        <v/>
      </c>
      <c r="AG211" s="12" t="str">
        <f aca="false">IF(OR(AC211="",H211=""),"",H211/AC211-1)</f>
        <v/>
      </c>
      <c r="AH211" s="7"/>
    </row>
    <row r="212" customFormat="false" ht="15.75" hidden="false" customHeight="true" outlineLevel="0" collapsed="false">
      <c r="A212" s="3" t="n">
        <v>452001701105</v>
      </c>
      <c r="B212" s="3" t="s">
        <v>394</v>
      </c>
      <c r="D212" s="3" t="s">
        <v>41</v>
      </c>
      <c r="E212" s="3" t="s">
        <v>55</v>
      </c>
      <c r="F212" s="4"/>
      <c r="G212" s="5"/>
      <c r="H212" s="5" t="n">
        <v>15000</v>
      </c>
      <c r="I212" s="3" t="n">
        <v>2</v>
      </c>
      <c r="K212" s="6" t="n">
        <f aca="false">I212-J212</f>
        <v>2</v>
      </c>
      <c r="L212" s="5" t="n">
        <f aca="false">K212*H212</f>
        <v>30000</v>
      </c>
      <c r="M212" s="5" t="n">
        <f aca="false">IF(A212="","",H212*J212)</f>
        <v>0</v>
      </c>
      <c r="N212" s="5" t="n">
        <f aca="false">IF(A212="","",G212*J212)</f>
        <v>0</v>
      </c>
      <c r="O212" s="5" t="n">
        <f aca="false">IF(A212="","",M212-N212)</f>
        <v>0</v>
      </c>
      <c r="Q212" s="7" t="s">
        <v>395</v>
      </c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7" t="n">
        <f aca="false">SUMPRODUCT(--(R212:AA212&gt;0),'Настройки цен'!$B$12:$K$12)</f>
        <v>0</v>
      </c>
      <c r="AC212" s="9" t="str">
        <f aca="false">IF(AB212=0,"",SUMPRODUCT(R212:AA212,'Настройки цен'!$B$11:$K$11,'Настройки цен'!$B$12:$K$12)/AB212)</f>
        <v/>
      </c>
      <c r="AD212" s="10"/>
      <c r="AE212" s="11" t="n">
        <f aca="false">IF(AD212&lt;&gt;"",AD212,IFERROR(IF(INDEX('Настройки цен'!$B$17:$B$24,MATCH(E212,'Настройки цен'!$A$17:$A$24,0))="",'Настройки цен'!$B$5,INDEX('Настройки цен'!$B$17:$B$24,MATCH(E212,'Настройки цен'!$A$17:$A$24,0))),'Настройки цен'!$B$5))</f>
        <v>0</v>
      </c>
      <c r="AF212" s="9" t="str">
        <f aca="false">IF(AC212="","",ROUND(AC212*(1+AE212)/'Настройки цен'!$B$6,0)*'Настройки цен'!$B$6)</f>
        <v/>
      </c>
      <c r="AG212" s="12" t="str">
        <f aca="false">IF(OR(AC212="",H212=""),"",H212/AC212-1)</f>
        <v/>
      </c>
      <c r="AH212" s="7"/>
    </row>
    <row r="213" customFormat="false" ht="15.75" hidden="false" customHeight="true" outlineLevel="0" collapsed="false">
      <c r="A213" s="3" t="s">
        <v>396</v>
      </c>
      <c r="B213" s="3" t="s">
        <v>397</v>
      </c>
      <c r="D213" s="3" t="s">
        <v>41</v>
      </c>
      <c r="E213" s="3" t="s">
        <v>55</v>
      </c>
      <c r="F213" s="4"/>
      <c r="G213" s="5"/>
      <c r="H213" s="5" t="n">
        <v>10000</v>
      </c>
      <c r="I213" s="3" t="n">
        <v>7</v>
      </c>
      <c r="K213" s="6" t="n">
        <f aca="false">I213-J213</f>
        <v>7</v>
      </c>
      <c r="L213" s="5" t="n">
        <f aca="false">K213*H213</f>
        <v>70000</v>
      </c>
      <c r="M213" s="5" t="n">
        <f aca="false">IF(A213="","",H213*J213)</f>
        <v>0</v>
      </c>
      <c r="N213" s="5" t="n">
        <f aca="false">IF(A213="","",G213*J213)</f>
        <v>0</v>
      </c>
      <c r="O213" s="5" t="n">
        <f aca="false">IF(A213="","",M213-N213)</f>
        <v>0</v>
      </c>
      <c r="Q213" s="7" t="s">
        <v>396</v>
      </c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7" t="n">
        <f aca="false">SUMPRODUCT(--(R213:AA213&gt;0),'Настройки цен'!$B$12:$K$12)</f>
        <v>0</v>
      </c>
      <c r="AC213" s="9" t="str">
        <f aca="false">IF(AB213=0,"",SUMPRODUCT(R213:AA213,'Настройки цен'!$B$11:$K$11,'Настройки цен'!$B$12:$K$12)/AB213)</f>
        <v/>
      </c>
      <c r="AD213" s="10"/>
      <c r="AE213" s="11" t="n">
        <f aca="false">IF(AD213&lt;&gt;"",AD213,IFERROR(IF(INDEX('Настройки цен'!$B$17:$B$24,MATCH(E213,'Настройки цен'!$A$17:$A$24,0))="",'Настройки цен'!$B$5,INDEX('Настройки цен'!$B$17:$B$24,MATCH(E213,'Настройки цен'!$A$17:$A$24,0))),'Настройки цен'!$B$5))</f>
        <v>0</v>
      </c>
      <c r="AF213" s="9" t="str">
        <f aca="false">IF(AC213="","",ROUND(AC213*(1+AE213)/'Настройки цен'!$B$6,0)*'Настройки цен'!$B$6)</f>
        <v/>
      </c>
      <c r="AG213" s="12" t="str">
        <f aca="false">IF(OR(AC213="",H213=""),"",H213/AC213-1)</f>
        <v/>
      </c>
      <c r="AH213" s="7"/>
    </row>
    <row r="214" customFormat="false" ht="15.75" hidden="false" customHeight="true" outlineLevel="0" collapsed="false">
      <c r="A214" s="3" t="n">
        <v>4021007010</v>
      </c>
      <c r="B214" s="3" t="s">
        <v>398</v>
      </c>
      <c r="D214" s="3" t="s">
        <v>41</v>
      </c>
      <c r="E214" s="3" t="s">
        <v>70</v>
      </c>
      <c r="F214" s="4"/>
      <c r="G214" s="5"/>
      <c r="H214" s="5" t="n">
        <v>3000</v>
      </c>
      <c r="I214" s="3" t="n">
        <v>2</v>
      </c>
      <c r="K214" s="6" t="n">
        <f aca="false">I214-J214</f>
        <v>2</v>
      </c>
      <c r="L214" s="5" t="n">
        <f aca="false">K214*H214</f>
        <v>6000</v>
      </c>
      <c r="M214" s="5" t="n">
        <f aca="false">IF(A214="","",H214*J214)</f>
        <v>0</v>
      </c>
      <c r="N214" s="5" t="n">
        <f aca="false">IF(A214="","",G214*J214)</f>
        <v>0</v>
      </c>
      <c r="O214" s="5" t="n">
        <f aca="false">IF(A214="","",M214-N214)</f>
        <v>0</v>
      </c>
      <c r="Q214" s="7" t="s">
        <v>399</v>
      </c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7" t="n">
        <f aca="false">SUMPRODUCT(--(R214:AA214&gt;0),'Настройки цен'!$B$12:$K$12)</f>
        <v>0</v>
      </c>
      <c r="AC214" s="9" t="str">
        <f aca="false">IF(AB214=0,"",SUMPRODUCT(R214:AA214,'Настройки цен'!$B$11:$K$11,'Настройки цен'!$B$12:$K$12)/AB214)</f>
        <v/>
      </c>
      <c r="AD214" s="10"/>
      <c r="AE214" s="11" t="n">
        <f aca="false">IF(AD214&lt;&gt;"",AD214,IFERROR(IF(INDEX('Настройки цен'!$B$17:$B$24,MATCH(E214,'Настройки цен'!$A$17:$A$24,0))="",'Настройки цен'!$B$5,INDEX('Настройки цен'!$B$17:$B$24,MATCH(E214,'Настройки цен'!$A$17:$A$24,0))),'Настройки цен'!$B$5))</f>
        <v>0</v>
      </c>
      <c r="AF214" s="9" t="str">
        <f aca="false">IF(AC214="","",ROUND(AC214*(1+AE214)/'Настройки цен'!$B$6,0)*'Настройки цен'!$B$6)</f>
        <v/>
      </c>
      <c r="AG214" s="12" t="str">
        <f aca="false">IF(OR(AC214="",H214=""),"",H214/AC214-1)</f>
        <v/>
      </c>
      <c r="AH214" s="7"/>
    </row>
    <row r="215" customFormat="false" ht="15.75" hidden="false" customHeight="true" outlineLevel="0" collapsed="false">
      <c r="B215" s="3" t="s">
        <v>400</v>
      </c>
      <c r="D215" s="3" t="s">
        <v>82</v>
      </c>
      <c r="E215" s="3" t="s">
        <v>111</v>
      </c>
      <c r="F215" s="4"/>
      <c r="G215" s="5"/>
      <c r="H215" s="5" t="n">
        <v>700</v>
      </c>
      <c r="I215" s="3" t="n">
        <v>29</v>
      </c>
      <c r="K215" s="6" t="n">
        <f aca="false">I215-J215</f>
        <v>29</v>
      </c>
      <c r="L215" s="5" t="n">
        <f aca="false">K215*H215</f>
        <v>20300</v>
      </c>
      <c r="M215" s="5" t="str">
        <f aca="false">IF(A215="","",H215*J215)</f>
        <v/>
      </c>
      <c r="N215" s="5" t="str">
        <f aca="false">IF(A215="","",G215*J215)</f>
        <v/>
      </c>
      <c r="O215" s="5" t="str">
        <f aca="false">IF(A215="","",M215-N215)</f>
        <v/>
      </c>
      <c r="Q215" s="7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7" t="n">
        <f aca="false">SUMPRODUCT(--(R215:AA215&gt;0),'Настройки цен'!$B$12:$K$12)</f>
        <v>0</v>
      </c>
      <c r="AC215" s="9" t="str">
        <f aca="false">IF(AB215=0,"",SUMPRODUCT(R215:AA215,'Настройки цен'!$B$11:$K$11,'Настройки цен'!$B$12:$K$12)/AB215)</f>
        <v/>
      </c>
      <c r="AD215" s="10"/>
      <c r="AE215" s="11" t="n">
        <f aca="false">IF(AD215&lt;&gt;"",AD215,IFERROR(IF(INDEX('Настройки цен'!$B$17:$B$24,MATCH(E215,'Настройки цен'!$A$17:$A$24,0))="",'Настройки цен'!$B$5,INDEX('Настройки цен'!$B$17:$B$24,MATCH(E215,'Настройки цен'!$A$17:$A$24,0))),'Настройки цен'!$B$5))</f>
        <v>0</v>
      </c>
      <c r="AF215" s="9" t="str">
        <f aca="false">IF(AC215="","",ROUND(AC215*(1+AE215)/'Настройки цен'!$B$6,0)*'Настройки цен'!$B$6)</f>
        <v/>
      </c>
      <c r="AG215" s="12" t="str">
        <f aca="false">IF(OR(AC215="",H215=""),"",H215/AC215-1)</f>
        <v/>
      </c>
      <c r="AH215" s="7"/>
    </row>
    <row r="216" customFormat="false" ht="15.75" hidden="false" customHeight="true" outlineLevel="0" collapsed="false">
      <c r="A216" s="3" t="n">
        <v>531601178</v>
      </c>
      <c r="B216" s="3" t="s">
        <v>401</v>
      </c>
      <c r="D216" s="3" t="s">
        <v>273</v>
      </c>
      <c r="E216" s="3" t="s">
        <v>55</v>
      </c>
      <c r="F216" s="4"/>
      <c r="G216" s="5"/>
      <c r="H216" s="5" t="n">
        <v>500</v>
      </c>
      <c r="I216" s="3" t="n">
        <v>105</v>
      </c>
      <c r="K216" s="6" t="n">
        <f aca="false">I216-J216</f>
        <v>105</v>
      </c>
      <c r="L216" s="5" t="n">
        <f aca="false">K216*H216</f>
        <v>52500</v>
      </c>
      <c r="M216" s="5" t="n">
        <f aca="false">IF(A216="","",H216*J216)</f>
        <v>0</v>
      </c>
      <c r="N216" s="5" t="n">
        <f aca="false">IF(A216="","",G216*J216)</f>
        <v>0</v>
      </c>
      <c r="O216" s="5" t="n">
        <f aca="false">IF(A216="","",M216-N216)</f>
        <v>0</v>
      </c>
      <c r="Q216" s="7" t="s">
        <v>402</v>
      </c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7" t="n">
        <f aca="false">SUMPRODUCT(--(R216:AA216&gt;0),'Настройки цен'!$B$12:$K$12)</f>
        <v>0</v>
      </c>
      <c r="AC216" s="9" t="str">
        <f aca="false">IF(AB216=0,"",SUMPRODUCT(R216:AA216,'Настройки цен'!$B$11:$K$11,'Настройки цен'!$B$12:$K$12)/AB216)</f>
        <v/>
      </c>
      <c r="AD216" s="10"/>
      <c r="AE216" s="11" t="n">
        <f aca="false">IF(AD216&lt;&gt;"",AD216,IFERROR(IF(INDEX('Настройки цен'!$B$17:$B$24,MATCH(E216,'Настройки цен'!$A$17:$A$24,0))="",'Настройки цен'!$B$5,INDEX('Настройки цен'!$B$17:$B$24,MATCH(E216,'Настройки цен'!$A$17:$A$24,0))),'Настройки цен'!$B$5))</f>
        <v>0</v>
      </c>
      <c r="AF216" s="9" t="str">
        <f aca="false">IF(AC216="","",ROUND(AC216*(1+AE216)/'Настройки цен'!$B$6,0)*'Настройки цен'!$B$6)</f>
        <v/>
      </c>
      <c r="AG216" s="12" t="str">
        <f aca="false">IF(OR(AC216="",H216=""),"",H216/AC216-1)</f>
        <v/>
      </c>
      <c r="AH216" s="7"/>
    </row>
    <row r="217" customFormat="false" ht="15.75" hidden="false" customHeight="true" outlineLevel="0" collapsed="false">
      <c r="A217" s="3" t="s">
        <v>403</v>
      </c>
      <c r="B217" s="3" t="s">
        <v>404</v>
      </c>
      <c r="D217" s="3" t="s">
        <v>273</v>
      </c>
      <c r="E217" s="3" t="s">
        <v>70</v>
      </c>
      <c r="F217" s="4"/>
      <c r="G217" s="5"/>
      <c r="H217" s="5" t="n">
        <v>1500</v>
      </c>
      <c r="I217" s="3" t="n">
        <v>4</v>
      </c>
      <c r="K217" s="6" t="n">
        <f aca="false">I217-J217</f>
        <v>4</v>
      </c>
      <c r="L217" s="5" t="n">
        <f aca="false">K217*H217</f>
        <v>6000</v>
      </c>
      <c r="M217" s="5" t="n">
        <f aca="false">IF(A217="","",H217*J217)</f>
        <v>0</v>
      </c>
      <c r="N217" s="5" t="n">
        <f aca="false">IF(A217="","",G217*J217)</f>
        <v>0</v>
      </c>
      <c r="O217" s="5" t="n">
        <f aca="false">IF(A217="","",M217-N217)</f>
        <v>0</v>
      </c>
      <c r="Q217" s="7" t="s">
        <v>403</v>
      </c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7" t="n">
        <f aca="false">SUMPRODUCT(--(R217:AA217&gt;0),'Настройки цен'!$B$12:$K$12)</f>
        <v>0</v>
      </c>
      <c r="AC217" s="9" t="str">
        <f aca="false">IF(AB217=0,"",SUMPRODUCT(R217:AA217,'Настройки цен'!$B$11:$K$11,'Настройки цен'!$B$12:$K$12)/AB217)</f>
        <v/>
      </c>
      <c r="AD217" s="10"/>
      <c r="AE217" s="11" t="n">
        <f aca="false">IF(AD217&lt;&gt;"",AD217,IFERROR(IF(INDEX('Настройки цен'!$B$17:$B$24,MATCH(E217,'Настройки цен'!$A$17:$A$24,0))="",'Настройки цен'!$B$5,INDEX('Настройки цен'!$B$17:$B$24,MATCH(E217,'Настройки цен'!$A$17:$A$24,0))),'Настройки цен'!$B$5))</f>
        <v>0</v>
      </c>
      <c r="AF217" s="9" t="str">
        <f aca="false">IF(AC217="","",ROUND(AC217*(1+AE217)/'Настройки цен'!$B$6,0)*'Настройки цен'!$B$6)</f>
        <v/>
      </c>
      <c r="AG217" s="12" t="str">
        <f aca="false">IF(OR(AC217="",H217=""),"",H217/AC217-1)</f>
        <v/>
      </c>
      <c r="AH217" s="7"/>
    </row>
    <row r="218" customFormat="false" ht="15.75" hidden="false" customHeight="true" outlineLevel="0" collapsed="false">
      <c r="A218" s="3" t="n">
        <v>5311702126</v>
      </c>
      <c r="B218" s="3" t="s">
        <v>405</v>
      </c>
      <c r="D218" s="3" t="s">
        <v>66</v>
      </c>
      <c r="E218" s="3" t="s">
        <v>55</v>
      </c>
      <c r="F218" s="4"/>
      <c r="G218" s="5"/>
      <c r="H218" s="5" t="n">
        <v>1500</v>
      </c>
      <c r="I218" s="3" t="n">
        <v>9</v>
      </c>
      <c r="K218" s="6" t="n">
        <f aca="false">I218-J218</f>
        <v>9</v>
      </c>
      <c r="L218" s="5" t="n">
        <f aca="false">K218*H218</f>
        <v>13500</v>
      </c>
      <c r="M218" s="5" t="n">
        <f aca="false">IF(A218="","",H218*J218)</f>
        <v>0</v>
      </c>
      <c r="N218" s="5" t="n">
        <f aca="false">IF(A218="","",G218*J218)</f>
        <v>0</v>
      </c>
      <c r="O218" s="5" t="n">
        <f aca="false">IF(A218="","",M218-N218)</f>
        <v>0</v>
      </c>
      <c r="Q218" s="7" t="s">
        <v>406</v>
      </c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7" t="n">
        <f aca="false">SUMPRODUCT(--(R218:AA218&gt;0),'Настройки цен'!$B$12:$K$12)</f>
        <v>0</v>
      </c>
      <c r="AC218" s="9" t="str">
        <f aca="false">IF(AB218=0,"",SUMPRODUCT(R218:AA218,'Настройки цен'!$B$11:$K$11,'Настройки цен'!$B$12:$K$12)/AB218)</f>
        <v/>
      </c>
      <c r="AD218" s="10"/>
      <c r="AE218" s="11" t="n">
        <f aca="false">IF(AD218&lt;&gt;"",AD218,IFERROR(IF(INDEX('Настройки цен'!$B$17:$B$24,MATCH(E218,'Настройки цен'!$A$17:$A$24,0))="",'Настройки цен'!$B$5,INDEX('Настройки цен'!$B$17:$B$24,MATCH(E218,'Настройки цен'!$A$17:$A$24,0))),'Настройки цен'!$B$5))</f>
        <v>0</v>
      </c>
      <c r="AF218" s="9" t="str">
        <f aca="false">IF(AC218="","",ROUND(AC218*(1+AE218)/'Настройки цен'!$B$6,0)*'Настройки цен'!$B$6)</f>
        <v/>
      </c>
      <c r="AG218" s="12" t="str">
        <f aca="false">IF(OR(AC218="",H218=""),"",H218/AC218-1)</f>
        <v/>
      </c>
      <c r="AH218" s="7"/>
    </row>
    <row r="219" customFormat="false" ht="15.75" hidden="false" customHeight="true" outlineLevel="0" collapsed="false">
      <c r="A219" s="3" t="n">
        <v>45150240306002</v>
      </c>
      <c r="B219" s="3" t="s">
        <v>407</v>
      </c>
      <c r="D219" s="3" t="s">
        <v>41</v>
      </c>
      <c r="E219" s="3" t="s">
        <v>55</v>
      </c>
      <c r="F219" s="4"/>
      <c r="G219" s="5"/>
      <c r="H219" s="5" t="n">
        <v>2000</v>
      </c>
      <c r="I219" s="3" t="n">
        <v>4</v>
      </c>
      <c r="K219" s="6" t="n">
        <f aca="false">I219-J219</f>
        <v>4</v>
      </c>
      <c r="L219" s="5" t="n">
        <f aca="false">K219*H219</f>
        <v>8000</v>
      </c>
      <c r="M219" s="5" t="n">
        <f aca="false">IF(A219="","",H219*J219)</f>
        <v>0</v>
      </c>
      <c r="N219" s="5" t="n">
        <f aca="false">IF(A219="","",G219*J219)</f>
        <v>0</v>
      </c>
      <c r="O219" s="5" t="n">
        <f aca="false">IF(A219="","",M219-N219)</f>
        <v>0</v>
      </c>
      <c r="Q219" s="7" t="s">
        <v>408</v>
      </c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7" t="n">
        <f aca="false">SUMPRODUCT(--(R219:AA219&gt;0),'Настройки цен'!$B$12:$K$12)</f>
        <v>0</v>
      </c>
      <c r="AC219" s="9" t="str">
        <f aca="false">IF(AB219=0,"",SUMPRODUCT(R219:AA219,'Настройки цен'!$B$11:$K$11,'Настройки цен'!$B$12:$K$12)/AB219)</f>
        <v/>
      </c>
      <c r="AD219" s="10"/>
      <c r="AE219" s="11" t="n">
        <f aca="false">IF(AD219&lt;&gt;"",AD219,IFERROR(IF(INDEX('Настройки цен'!$B$17:$B$24,MATCH(E219,'Настройки цен'!$A$17:$A$24,0))="",'Настройки цен'!$B$5,INDEX('Настройки цен'!$B$17:$B$24,MATCH(E219,'Настройки цен'!$A$17:$A$24,0))),'Настройки цен'!$B$5))</f>
        <v>0</v>
      </c>
      <c r="AF219" s="9" t="str">
        <f aca="false">IF(AC219="","",ROUND(AC219*(1+AE219)/'Настройки цен'!$B$6,0)*'Настройки цен'!$B$6)</f>
        <v/>
      </c>
      <c r="AG219" s="12" t="str">
        <f aca="false">IF(OR(AC219="",H219=""),"",H219/AC219-1)</f>
        <v/>
      </c>
      <c r="AH219" s="7"/>
    </row>
    <row r="220" customFormat="false" ht="15.75" hidden="false" customHeight="true" outlineLevel="0" collapsed="false">
      <c r="A220" s="3" t="n">
        <v>45200170202402</v>
      </c>
      <c r="B220" s="3" t="s">
        <v>409</v>
      </c>
      <c r="D220" s="3" t="s">
        <v>41</v>
      </c>
      <c r="E220" s="3" t="s">
        <v>55</v>
      </c>
      <c r="F220" s="4"/>
      <c r="G220" s="5"/>
      <c r="H220" s="5" t="n">
        <v>8000</v>
      </c>
      <c r="I220" s="3" t="n">
        <v>1</v>
      </c>
      <c r="K220" s="6" t="n">
        <f aca="false">I220-J220</f>
        <v>1</v>
      </c>
      <c r="L220" s="5" t="n">
        <f aca="false">K220*H220</f>
        <v>8000</v>
      </c>
      <c r="M220" s="5" t="n">
        <f aca="false">IF(A220="","",H220*J220)</f>
        <v>0</v>
      </c>
      <c r="N220" s="5" t="n">
        <f aca="false">IF(A220="","",G220*J220)</f>
        <v>0</v>
      </c>
      <c r="O220" s="5" t="n">
        <f aca="false">IF(A220="","",M220-N220)</f>
        <v>0</v>
      </c>
      <c r="Q220" s="7" t="s">
        <v>410</v>
      </c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7" t="n">
        <f aca="false">SUMPRODUCT(--(R220:AA220&gt;0),'Настройки цен'!$B$12:$K$12)</f>
        <v>0</v>
      </c>
      <c r="AC220" s="9" t="str">
        <f aca="false">IF(AB220=0,"",SUMPRODUCT(R220:AA220,'Настройки цен'!$B$11:$K$11,'Настройки цен'!$B$12:$K$12)/AB220)</f>
        <v/>
      </c>
      <c r="AD220" s="10"/>
      <c r="AE220" s="11" t="n">
        <f aca="false">IF(AD220&lt;&gt;"",AD220,IFERROR(IF(INDEX('Настройки цен'!$B$17:$B$24,MATCH(E220,'Настройки цен'!$A$17:$A$24,0))="",'Настройки цен'!$B$5,INDEX('Настройки цен'!$B$17:$B$24,MATCH(E220,'Настройки цен'!$A$17:$A$24,0))),'Настройки цен'!$B$5))</f>
        <v>0</v>
      </c>
      <c r="AF220" s="9" t="str">
        <f aca="false">IF(AC220="","",ROUND(AC220*(1+AE220)/'Настройки цен'!$B$6,0)*'Настройки цен'!$B$6)</f>
        <v/>
      </c>
      <c r="AG220" s="12" t="str">
        <f aca="false">IF(OR(AC220="",H220=""),"",H220/AC220-1)</f>
        <v/>
      </c>
      <c r="AH220" s="7"/>
    </row>
    <row r="221" customFormat="false" ht="15.75" hidden="false" customHeight="true" outlineLevel="0" collapsed="false">
      <c r="A221" s="3" t="n">
        <v>4691701105</v>
      </c>
      <c r="B221" s="3" t="s">
        <v>411</v>
      </c>
      <c r="D221" s="3" t="s">
        <v>41</v>
      </c>
      <c r="E221" s="3" t="s">
        <v>55</v>
      </c>
      <c r="F221" s="4"/>
      <c r="G221" s="5"/>
      <c r="H221" s="5" t="n">
        <v>15000</v>
      </c>
      <c r="I221" s="3" t="n">
        <v>3</v>
      </c>
      <c r="K221" s="6" t="n">
        <f aca="false">I221-J221</f>
        <v>3</v>
      </c>
      <c r="L221" s="5" t="n">
        <f aca="false">K221*H221</f>
        <v>45000</v>
      </c>
      <c r="M221" s="5" t="n">
        <f aca="false">IF(A221="","",H221*J221)</f>
        <v>0</v>
      </c>
      <c r="N221" s="5" t="n">
        <f aca="false">IF(A221="","",G221*J221)</f>
        <v>0</v>
      </c>
      <c r="O221" s="5" t="n">
        <f aca="false">IF(A221="","",M221-N221)</f>
        <v>0</v>
      </c>
      <c r="Q221" s="7" t="s">
        <v>412</v>
      </c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7" t="n">
        <f aca="false">SUMPRODUCT(--(R221:AA221&gt;0),'Настройки цен'!$B$12:$K$12)</f>
        <v>0</v>
      </c>
      <c r="AC221" s="9" t="str">
        <f aca="false">IF(AB221=0,"",SUMPRODUCT(R221:AA221,'Настройки цен'!$B$11:$K$11,'Настройки цен'!$B$12:$K$12)/AB221)</f>
        <v/>
      </c>
      <c r="AD221" s="10"/>
      <c r="AE221" s="11" t="n">
        <f aca="false">IF(AD221&lt;&gt;"",AD221,IFERROR(IF(INDEX('Настройки цен'!$B$17:$B$24,MATCH(E221,'Настройки цен'!$A$17:$A$24,0))="",'Настройки цен'!$B$5,INDEX('Настройки цен'!$B$17:$B$24,MATCH(E221,'Настройки цен'!$A$17:$A$24,0))),'Настройки цен'!$B$5))</f>
        <v>0</v>
      </c>
      <c r="AF221" s="9" t="str">
        <f aca="false">IF(AC221="","",ROUND(AC221*(1+AE221)/'Настройки цен'!$B$6,0)*'Настройки цен'!$B$6)</f>
        <v/>
      </c>
      <c r="AG221" s="12" t="str">
        <f aca="false">IF(OR(AC221="",H221=""),"",H221/AC221-1)</f>
        <v/>
      </c>
      <c r="AH221" s="7"/>
    </row>
    <row r="222" customFormat="false" ht="15.75" hidden="false" customHeight="true" outlineLevel="0" collapsed="false">
      <c r="B222" s="3" t="s">
        <v>413</v>
      </c>
      <c r="D222" s="3" t="s">
        <v>273</v>
      </c>
      <c r="E222" s="3" t="s">
        <v>70</v>
      </c>
      <c r="F222" s="4"/>
      <c r="G222" s="5"/>
      <c r="H222" s="5" t="n">
        <v>3000</v>
      </c>
      <c r="I222" s="3" t="n">
        <v>2</v>
      </c>
      <c r="K222" s="6" t="n">
        <f aca="false">I222-J222</f>
        <v>2</v>
      </c>
      <c r="L222" s="5" t="n">
        <f aca="false">K222*H222</f>
        <v>6000</v>
      </c>
      <c r="M222" s="5" t="str">
        <f aca="false">IF(A222="","",H222*J222)</f>
        <v/>
      </c>
      <c r="N222" s="5" t="str">
        <f aca="false">IF(A222="","",G222*J222)</f>
        <v/>
      </c>
      <c r="O222" s="5" t="str">
        <f aca="false">IF(A222="","",M222-N222)</f>
        <v/>
      </c>
      <c r="Q222" s="7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7" t="n">
        <f aca="false">SUMPRODUCT(--(R222:AA222&gt;0),'Настройки цен'!$B$12:$K$12)</f>
        <v>0</v>
      </c>
      <c r="AC222" s="9" t="str">
        <f aca="false">IF(AB222=0,"",SUMPRODUCT(R222:AA222,'Настройки цен'!$B$11:$K$11,'Настройки цен'!$B$12:$K$12)/AB222)</f>
        <v/>
      </c>
      <c r="AD222" s="10"/>
      <c r="AE222" s="11" t="n">
        <f aca="false">IF(AD222&lt;&gt;"",AD222,IFERROR(IF(INDEX('Настройки цен'!$B$17:$B$24,MATCH(E222,'Настройки цен'!$A$17:$A$24,0))="",'Настройки цен'!$B$5,INDEX('Настройки цен'!$B$17:$B$24,MATCH(E222,'Настройки цен'!$A$17:$A$24,0))),'Настройки цен'!$B$5))</f>
        <v>0</v>
      </c>
      <c r="AF222" s="9" t="str">
        <f aca="false">IF(AC222="","",ROUND(AC222*(1+AE222)/'Настройки цен'!$B$6,0)*'Настройки цен'!$B$6)</f>
        <v/>
      </c>
      <c r="AG222" s="12" t="str">
        <f aca="false">IF(OR(AC222="",H222=""),"",H222/AC222-1)</f>
        <v/>
      </c>
      <c r="AH222" s="7"/>
    </row>
    <row r="223" customFormat="false" ht="15.75" hidden="false" customHeight="true" outlineLevel="0" collapsed="false">
      <c r="A223" s="3" t="n">
        <v>45150170112611</v>
      </c>
      <c r="B223" s="3" t="s">
        <v>414</v>
      </c>
      <c r="D223" s="3" t="s">
        <v>41</v>
      </c>
      <c r="E223" s="3" t="s">
        <v>55</v>
      </c>
      <c r="F223" s="4"/>
      <c r="G223" s="5"/>
      <c r="H223" s="5" t="n">
        <v>8000</v>
      </c>
      <c r="I223" s="3" t="n">
        <v>2</v>
      </c>
      <c r="K223" s="6" t="n">
        <f aca="false">I223-J223</f>
        <v>2</v>
      </c>
      <c r="L223" s="5" t="n">
        <f aca="false">K223*H223</f>
        <v>16000</v>
      </c>
      <c r="M223" s="5" t="n">
        <f aca="false">IF(A223="","",H223*J223)</f>
        <v>0</v>
      </c>
      <c r="N223" s="5" t="n">
        <f aca="false">IF(A223="","",G223*J223)</f>
        <v>0</v>
      </c>
      <c r="O223" s="5" t="n">
        <f aca="false">IF(A223="","",M223-N223)</f>
        <v>0</v>
      </c>
      <c r="Q223" s="7" t="s">
        <v>415</v>
      </c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7" t="n">
        <f aca="false">SUMPRODUCT(--(R223:AA223&gt;0),'Настройки цен'!$B$12:$K$12)</f>
        <v>0</v>
      </c>
      <c r="AC223" s="9" t="str">
        <f aca="false">IF(AB223=0,"",SUMPRODUCT(R223:AA223,'Настройки цен'!$B$11:$K$11,'Настройки цен'!$B$12:$K$12)/AB223)</f>
        <v/>
      </c>
      <c r="AD223" s="10"/>
      <c r="AE223" s="11" t="n">
        <f aca="false">IF(AD223&lt;&gt;"",AD223,IFERROR(IF(INDEX('Настройки цен'!$B$17:$B$24,MATCH(E223,'Настройки цен'!$A$17:$A$24,0))="",'Настройки цен'!$B$5,INDEX('Настройки цен'!$B$17:$B$24,MATCH(E223,'Настройки цен'!$A$17:$A$24,0))),'Настройки цен'!$B$5))</f>
        <v>0</v>
      </c>
      <c r="AF223" s="9" t="str">
        <f aca="false">IF(AC223="","",ROUND(AC223*(1+AE223)/'Настройки цен'!$B$6,0)*'Настройки цен'!$B$6)</f>
        <v/>
      </c>
      <c r="AG223" s="12" t="str">
        <f aca="false">IF(OR(AC223="",H223=""),"",H223/AC223-1)</f>
        <v/>
      </c>
      <c r="AH223" s="7"/>
    </row>
    <row r="224" customFormat="false" ht="15.75" hidden="false" customHeight="true" outlineLevel="0" collapsed="false">
      <c r="A224" s="3" t="s">
        <v>416</v>
      </c>
      <c r="B224" s="3" t="s">
        <v>417</v>
      </c>
      <c r="D224" s="3" t="s">
        <v>41</v>
      </c>
      <c r="E224" s="3" t="s">
        <v>55</v>
      </c>
      <c r="F224" s="4"/>
      <c r="G224" s="5"/>
      <c r="H224" s="5" t="n">
        <v>4000</v>
      </c>
      <c r="I224" s="3" t="n">
        <v>7</v>
      </c>
      <c r="K224" s="6" t="n">
        <f aca="false">I224-J224</f>
        <v>7</v>
      </c>
      <c r="L224" s="5" t="n">
        <f aca="false">K224*H224</f>
        <v>28000</v>
      </c>
      <c r="M224" s="5" t="n">
        <f aca="false">IF(A224="","",H224*J224)</f>
        <v>0</v>
      </c>
      <c r="N224" s="5" t="n">
        <f aca="false">IF(A224="","",G224*J224)</f>
        <v>0</v>
      </c>
      <c r="O224" s="5" t="n">
        <f aca="false">IF(A224="","",M224-N224)</f>
        <v>0</v>
      </c>
      <c r="Q224" s="7" t="s">
        <v>416</v>
      </c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7" t="n">
        <f aca="false">SUMPRODUCT(--(R224:AA224&gt;0),'Настройки цен'!$B$12:$K$12)</f>
        <v>0</v>
      </c>
      <c r="AC224" s="9" t="str">
        <f aca="false">IF(AB224=0,"",SUMPRODUCT(R224:AA224,'Настройки цен'!$B$11:$K$11,'Настройки цен'!$B$12:$K$12)/AB224)</f>
        <v/>
      </c>
      <c r="AD224" s="10"/>
      <c r="AE224" s="11" t="n">
        <f aca="false">IF(AD224&lt;&gt;"",AD224,IFERROR(IF(INDEX('Настройки цен'!$B$17:$B$24,MATCH(E224,'Настройки цен'!$A$17:$A$24,0))="",'Настройки цен'!$B$5,INDEX('Настройки цен'!$B$17:$B$24,MATCH(E224,'Настройки цен'!$A$17:$A$24,0))),'Настройки цен'!$B$5))</f>
        <v>0</v>
      </c>
      <c r="AF224" s="9" t="str">
        <f aca="false">IF(AC224="","",ROUND(AC224*(1+AE224)/'Настройки цен'!$B$6,0)*'Настройки цен'!$B$6)</f>
        <v/>
      </c>
      <c r="AG224" s="12" t="str">
        <f aca="false">IF(OR(AC224="",H224=""),"",H224/AC224-1)</f>
        <v/>
      </c>
      <c r="AH224" s="7"/>
    </row>
    <row r="225" customFormat="false" ht="15.75" hidden="false" customHeight="true" outlineLevel="0" collapsed="false">
      <c r="A225" s="3" t="s">
        <v>418</v>
      </c>
      <c r="B225" s="3" t="s">
        <v>419</v>
      </c>
      <c r="D225" s="3" t="s">
        <v>41</v>
      </c>
      <c r="E225" s="3" t="s">
        <v>55</v>
      </c>
      <c r="F225" s="4"/>
      <c r="G225" s="5"/>
      <c r="H225" s="5" t="n">
        <v>4000</v>
      </c>
      <c r="I225" s="3" t="n">
        <v>12</v>
      </c>
      <c r="K225" s="6" t="n">
        <f aca="false">I225-J225</f>
        <v>12</v>
      </c>
      <c r="L225" s="5" t="n">
        <f aca="false">K225*H225</f>
        <v>48000</v>
      </c>
      <c r="M225" s="5" t="n">
        <f aca="false">IF(A225="","",H225*J225)</f>
        <v>0</v>
      </c>
      <c r="N225" s="5" t="n">
        <f aca="false">IF(A225="","",G225*J225)</f>
        <v>0</v>
      </c>
      <c r="O225" s="5" t="n">
        <f aca="false">IF(A225="","",M225-N225)</f>
        <v>0</v>
      </c>
      <c r="Q225" s="7" t="s">
        <v>418</v>
      </c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7" t="n">
        <f aca="false">SUMPRODUCT(--(R225:AA225&gt;0),'Настройки цен'!$B$12:$K$12)</f>
        <v>0</v>
      </c>
      <c r="AC225" s="9" t="str">
        <f aca="false">IF(AB225=0,"",SUMPRODUCT(R225:AA225,'Настройки цен'!$B$11:$K$11,'Настройки цен'!$B$12:$K$12)/AB225)</f>
        <v/>
      </c>
      <c r="AD225" s="10"/>
      <c r="AE225" s="11" t="n">
        <f aca="false">IF(AD225&lt;&gt;"",AD225,IFERROR(IF(INDEX('Настройки цен'!$B$17:$B$24,MATCH(E225,'Настройки цен'!$A$17:$A$24,0))="",'Настройки цен'!$B$5,INDEX('Настройки цен'!$B$17:$B$24,MATCH(E225,'Настройки цен'!$A$17:$A$24,0))),'Настройки цен'!$B$5))</f>
        <v>0</v>
      </c>
      <c r="AF225" s="9" t="str">
        <f aca="false">IF(AC225="","",ROUND(AC225*(1+AE225)/'Настройки цен'!$B$6,0)*'Настройки цен'!$B$6)</f>
        <v/>
      </c>
      <c r="AG225" s="12" t="str">
        <f aca="false">IF(OR(AC225="",H225=""),"",H225/AC225-1)</f>
        <v/>
      </c>
      <c r="AH225" s="7"/>
    </row>
    <row r="226" customFormat="false" ht="15.75" hidden="false" customHeight="true" outlineLevel="0" collapsed="false">
      <c r="B226" s="3" t="s">
        <v>420</v>
      </c>
      <c r="D226" s="3" t="s">
        <v>273</v>
      </c>
      <c r="E226" s="3" t="s">
        <v>70</v>
      </c>
      <c r="F226" s="4"/>
      <c r="G226" s="5"/>
      <c r="H226" s="5" t="n">
        <v>1000</v>
      </c>
      <c r="I226" s="3" t="n">
        <v>77</v>
      </c>
      <c r="K226" s="6" t="n">
        <f aca="false">I226-J226</f>
        <v>77</v>
      </c>
      <c r="L226" s="5" t="n">
        <f aca="false">K226*H226</f>
        <v>77000</v>
      </c>
      <c r="M226" s="5" t="str">
        <f aca="false">IF(A226="","",H226*J226)</f>
        <v/>
      </c>
      <c r="N226" s="5" t="str">
        <f aca="false">IF(A226="","",G226*J226)</f>
        <v/>
      </c>
      <c r="O226" s="5" t="str">
        <f aca="false">IF(A226="","",M226-N226)</f>
        <v/>
      </c>
      <c r="Q226" s="7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7" t="n">
        <f aca="false">SUMPRODUCT(--(R226:AA226&gt;0),'Настройки цен'!$B$12:$K$12)</f>
        <v>0</v>
      </c>
      <c r="AC226" s="9" t="str">
        <f aca="false">IF(AB226=0,"",SUMPRODUCT(R226:AA226,'Настройки цен'!$B$11:$K$11,'Настройки цен'!$B$12:$K$12)/AB226)</f>
        <v/>
      </c>
      <c r="AD226" s="10"/>
      <c r="AE226" s="11" t="n">
        <f aca="false">IF(AD226&lt;&gt;"",AD226,IFERROR(IF(INDEX('Настройки цен'!$B$17:$B$24,MATCH(E226,'Настройки цен'!$A$17:$A$24,0))="",'Настройки цен'!$B$5,INDEX('Настройки цен'!$B$17:$B$24,MATCH(E226,'Настройки цен'!$A$17:$A$24,0))),'Настройки цен'!$B$5))</f>
        <v>0</v>
      </c>
      <c r="AF226" s="9" t="str">
        <f aca="false">IF(AC226="","",ROUND(AC226*(1+AE226)/'Настройки цен'!$B$6,0)*'Настройки цен'!$B$6)</f>
        <v/>
      </c>
      <c r="AG226" s="12" t="str">
        <f aca="false">IF(OR(AC226="",H226=""),"",H226/AC226-1)</f>
        <v/>
      </c>
      <c r="AH226" s="7"/>
    </row>
    <row r="227" customFormat="false" ht="15.75" hidden="false" customHeight="true" outlineLevel="0" collapsed="false">
      <c r="A227" s="3" t="s">
        <v>421</v>
      </c>
      <c r="B227" s="3" t="s">
        <v>422</v>
      </c>
      <c r="D227" s="3" t="s">
        <v>41</v>
      </c>
      <c r="E227" s="3" t="s">
        <v>111</v>
      </c>
      <c r="F227" s="4"/>
      <c r="G227" s="5"/>
      <c r="H227" s="5" t="n">
        <v>300</v>
      </c>
      <c r="I227" s="3" t="n">
        <v>180</v>
      </c>
      <c r="K227" s="6" t="n">
        <f aca="false">I227-J227</f>
        <v>180</v>
      </c>
      <c r="L227" s="5" t="n">
        <f aca="false">K227*H227</f>
        <v>54000</v>
      </c>
      <c r="M227" s="5" t="n">
        <f aca="false">IF(A227="","",H227*J227)</f>
        <v>0</v>
      </c>
      <c r="N227" s="5" t="n">
        <f aca="false">IF(A227="","",G227*J227)</f>
        <v>0</v>
      </c>
      <c r="O227" s="5" t="n">
        <f aca="false">IF(A227="","",M227-N227)</f>
        <v>0</v>
      </c>
      <c r="Q227" s="7" t="s">
        <v>421</v>
      </c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7" t="n">
        <f aca="false">SUMPRODUCT(--(R227:AA227&gt;0),'Настройки цен'!$B$12:$K$12)</f>
        <v>0</v>
      </c>
      <c r="AC227" s="9" t="str">
        <f aca="false">IF(AB227=0,"",SUMPRODUCT(R227:AA227,'Настройки цен'!$B$11:$K$11,'Настройки цен'!$B$12:$K$12)/AB227)</f>
        <v/>
      </c>
      <c r="AD227" s="10"/>
      <c r="AE227" s="11" t="n">
        <f aca="false">IF(AD227&lt;&gt;"",AD227,IFERROR(IF(INDEX('Настройки цен'!$B$17:$B$24,MATCH(E227,'Настройки цен'!$A$17:$A$24,0))="",'Настройки цен'!$B$5,INDEX('Настройки цен'!$B$17:$B$24,MATCH(E227,'Настройки цен'!$A$17:$A$24,0))),'Настройки цен'!$B$5))</f>
        <v>0</v>
      </c>
      <c r="AF227" s="9" t="str">
        <f aca="false">IF(AC227="","",ROUND(AC227*(1+AE227)/'Настройки цен'!$B$6,0)*'Настройки цен'!$B$6)</f>
        <v/>
      </c>
      <c r="AG227" s="12" t="str">
        <f aca="false">IF(OR(AC227="",H227=""),"",H227/AC227-1)</f>
        <v/>
      </c>
      <c r="AH227" s="7"/>
    </row>
    <row r="228" customFormat="false" ht="15.75" hidden="false" customHeight="true" outlineLevel="0" collapsed="false">
      <c r="A228" s="3" t="n">
        <v>316050341405800</v>
      </c>
      <c r="B228" s="3" t="s">
        <v>423</v>
      </c>
      <c r="D228" s="3" t="s">
        <v>41</v>
      </c>
      <c r="E228" s="3" t="s">
        <v>55</v>
      </c>
      <c r="F228" s="4"/>
      <c r="G228" s="5"/>
      <c r="H228" s="5" t="n">
        <v>2500</v>
      </c>
      <c r="I228" s="3" t="n">
        <v>3</v>
      </c>
      <c r="K228" s="6" t="n">
        <f aca="false">I228-J228</f>
        <v>3</v>
      </c>
      <c r="L228" s="5" t="n">
        <f aca="false">K228*H228</f>
        <v>7500</v>
      </c>
      <c r="M228" s="5" t="n">
        <f aca="false">IF(A228="","",H228*J228)</f>
        <v>0</v>
      </c>
      <c r="N228" s="5" t="n">
        <f aca="false">IF(A228="","",G228*J228)</f>
        <v>0</v>
      </c>
      <c r="O228" s="5" t="n">
        <f aca="false">IF(A228="","",M228-N228)</f>
        <v>0</v>
      </c>
      <c r="Q228" s="7" t="s">
        <v>424</v>
      </c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7" t="n">
        <f aca="false">SUMPRODUCT(--(R228:AA228&gt;0),'Настройки цен'!$B$12:$K$12)</f>
        <v>0</v>
      </c>
      <c r="AC228" s="9" t="str">
        <f aca="false">IF(AB228=0,"",SUMPRODUCT(R228:AA228,'Настройки цен'!$B$11:$K$11,'Настройки цен'!$B$12:$K$12)/AB228)</f>
        <v/>
      </c>
      <c r="AD228" s="10"/>
      <c r="AE228" s="11" t="n">
        <f aca="false">IF(AD228&lt;&gt;"",AD228,IFERROR(IF(INDEX('Настройки цен'!$B$17:$B$24,MATCH(E228,'Настройки цен'!$A$17:$A$24,0))="",'Настройки цен'!$B$5,INDEX('Настройки цен'!$B$17:$B$24,MATCH(E228,'Настройки цен'!$A$17:$A$24,0))),'Настройки цен'!$B$5))</f>
        <v>0</v>
      </c>
      <c r="AF228" s="9" t="str">
        <f aca="false">IF(AC228="","",ROUND(AC228*(1+AE228)/'Настройки цен'!$B$6,0)*'Настройки цен'!$B$6)</f>
        <v/>
      </c>
      <c r="AG228" s="12" t="str">
        <f aca="false">IF(OR(AC228="",H228=""),"",H228/AC228-1)</f>
        <v/>
      </c>
      <c r="AH228" s="7"/>
    </row>
    <row r="229" customFormat="false" ht="15.75" hidden="false" customHeight="true" outlineLevel="0" collapsed="false">
      <c r="A229" s="3" t="n">
        <v>315120291551000</v>
      </c>
      <c r="B229" s="3" t="s">
        <v>425</v>
      </c>
      <c r="D229" s="3" t="s">
        <v>41</v>
      </c>
      <c r="E229" s="3" t="s">
        <v>55</v>
      </c>
      <c r="F229" s="4"/>
      <c r="G229" s="5"/>
      <c r="H229" s="5" t="n">
        <v>2000</v>
      </c>
      <c r="I229" s="3" t="n">
        <v>13</v>
      </c>
      <c r="K229" s="6" t="n">
        <f aca="false">I229-J229</f>
        <v>13</v>
      </c>
      <c r="L229" s="5" t="n">
        <f aca="false">K229*H229</f>
        <v>26000</v>
      </c>
      <c r="M229" s="5" t="n">
        <f aca="false">IF(A229="","",H229*J229)</f>
        <v>0</v>
      </c>
      <c r="N229" s="5" t="n">
        <f aca="false">IF(A229="","",G229*J229)</f>
        <v>0</v>
      </c>
      <c r="O229" s="5" t="n">
        <f aca="false">IF(A229="","",M229-N229)</f>
        <v>0</v>
      </c>
      <c r="Q229" s="7" t="s">
        <v>426</v>
      </c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7" t="n">
        <f aca="false">SUMPRODUCT(--(R229:AA229&gt;0),'Настройки цен'!$B$12:$K$12)</f>
        <v>0</v>
      </c>
      <c r="AC229" s="9" t="str">
        <f aca="false">IF(AB229=0,"",SUMPRODUCT(R229:AA229,'Настройки цен'!$B$11:$K$11,'Настройки цен'!$B$12:$K$12)/AB229)</f>
        <v/>
      </c>
      <c r="AD229" s="10"/>
      <c r="AE229" s="11" t="n">
        <f aca="false">IF(AD229&lt;&gt;"",AD229,IFERROR(IF(INDEX('Настройки цен'!$B$17:$B$24,MATCH(E229,'Настройки цен'!$A$17:$A$24,0))="",'Настройки цен'!$B$5,INDEX('Настройки цен'!$B$17:$B$24,MATCH(E229,'Настройки цен'!$A$17:$A$24,0))),'Настройки цен'!$B$5))</f>
        <v>0</v>
      </c>
      <c r="AF229" s="9" t="str">
        <f aca="false">IF(AC229="","",ROUND(AC229*(1+AE229)/'Настройки цен'!$B$6,0)*'Настройки цен'!$B$6)</f>
        <v/>
      </c>
      <c r="AG229" s="12" t="str">
        <f aca="false">IF(OR(AC229="",H229=""),"",H229/AC229-1)</f>
        <v/>
      </c>
      <c r="AH229" s="7"/>
    </row>
    <row r="230" customFormat="false" ht="15.75" hidden="false" customHeight="true" outlineLevel="0" collapsed="false">
      <c r="B230" s="3" t="s">
        <v>427</v>
      </c>
      <c r="D230" s="3" t="s">
        <v>41</v>
      </c>
      <c r="E230" s="3" t="s">
        <v>428</v>
      </c>
      <c r="F230" s="4"/>
      <c r="G230" s="5"/>
      <c r="H230" s="5" t="n">
        <v>300</v>
      </c>
      <c r="I230" s="3" t="n">
        <v>34</v>
      </c>
      <c r="K230" s="6" t="n">
        <f aca="false">I230-J230</f>
        <v>34</v>
      </c>
      <c r="L230" s="5" t="n">
        <f aca="false">K230*H230</f>
        <v>10200</v>
      </c>
      <c r="M230" s="5" t="str">
        <f aca="false">IF(A230="","",H230*J230)</f>
        <v/>
      </c>
      <c r="N230" s="5" t="str">
        <f aca="false">IF(A230="","",G230*J230)</f>
        <v/>
      </c>
      <c r="O230" s="5" t="str">
        <f aca="false">IF(A230="","",M230-N230)</f>
        <v/>
      </c>
      <c r="Q230" s="7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7" t="n">
        <f aca="false">SUMPRODUCT(--(R230:AA230&gt;0),'Настройки цен'!$B$12:$K$12)</f>
        <v>0</v>
      </c>
      <c r="AC230" s="9" t="str">
        <f aca="false">IF(AB230=0,"",SUMPRODUCT(R230:AA230,'Настройки цен'!$B$11:$K$11,'Настройки цен'!$B$12:$K$12)/AB230)</f>
        <v/>
      </c>
      <c r="AD230" s="10"/>
      <c r="AE230" s="11" t="n">
        <f aca="false">IF(AD230&lt;&gt;"",AD230,IFERROR(IF(INDEX('Настройки цен'!$B$17:$B$24,MATCH(E230,'Настройки цен'!$A$17:$A$24,0))="",'Настройки цен'!$B$5,INDEX('Настройки цен'!$B$17:$B$24,MATCH(E230,'Настройки цен'!$A$17:$A$24,0))),'Настройки цен'!$B$5))</f>
        <v>0</v>
      </c>
      <c r="AF230" s="9" t="str">
        <f aca="false">IF(AC230="","",ROUND(AC230*(1+AE230)/'Настройки цен'!$B$6,0)*'Настройки цен'!$B$6)</f>
        <v/>
      </c>
      <c r="AG230" s="12" t="str">
        <f aca="false">IF(OR(AC230="",H230=""),"",H230/AC230-1)</f>
        <v/>
      </c>
      <c r="AH230" s="7"/>
    </row>
    <row r="231" customFormat="false" ht="15.75" hidden="false" customHeight="true" outlineLevel="0" collapsed="false">
      <c r="B231" s="3" t="s">
        <v>429</v>
      </c>
      <c r="D231" s="3" t="s">
        <v>41</v>
      </c>
      <c r="E231" s="3" t="s">
        <v>55</v>
      </c>
      <c r="F231" s="4"/>
      <c r="G231" s="5"/>
      <c r="H231" s="5" t="n">
        <v>1000</v>
      </c>
      <c r="I231" s="3" t="n">
        <v>13</v>
      </c>
      <c r="K231" s="6" t="n">
        <f aca="false">I231-J231</f>
        <v>13</v>
      </c>
      <c r="L231" s="5" t="n">
        <f aca="false">K231*H231</f>
        <v>13000</v>
      </c>
      <c r="M231" s="5" t="str">
        <f aca="false">IF(A231="","",H231*J231)</f>
        <v/>
      </c>
      <c r="N231" s="5" t="str">
        <f aca="false">IF(A231="","",G231*J231)</f>
        <v/>
      </c>
      <c r="O231" s="5" t="str">
        <f aca="false">IF(A231="","",M231-N231)</f>
        <v/>
      </c>
      <c r="Q231" s="7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7" t="n">
        <f aca="false">SUMPRODUCT(--(R231:AA231&gt;0),'Настройки цен'!$B$12:$K$12)</f>
        <v>0</v>
      </c>
      <c r="AC231" s="9" t="str">
        <f aca="false">IF(AB231=0,"",SUMPRODUCT(R231:AA231,'Настройки цен'!$B$11:$K$11,'Настройки цен'!$B$12:$K$12)/AB231)</f>
        <v/>
      </c>
      <c r="AD231" s="10"/>
      <c r="AE231" s="11" t="n">
        <f aca="false">IF(AD231&lt;&gt;"",AD231,IFERROR(IF(INDEX('Настройки цен'!$B$17:$B$24,MATCH(E231,'Настройки цен'!$A$17:$A$24,0))="",'Настройки цен'!$B$5,INDEX('Настройки цен'!$B$17:$B$24,MATCH(E231,'Настройки цен'!$A$17:$A$24,0))),'Настройки цен'!$B$5))</f>
        <v>0</v>
      </c>
      <c r="AF231" s="9" t="str">
        <f aca="false">IF(AC231="","",ROUND(AC231*(1+AE231)/'Настройки цен'!$B$6,0)*'Настройки цен'!$B$6)</f>
        <v/>
      </c>
      <c r="AG231" s="12" t="str">
        <f aca="false">IF(OR(AC231="",H231=""),"",H231/AC231-1)</f>
        <v/>
      </c>
      <c r="AH231" s="7"/>
    </row>
    <row r="232" customFormat="false" ht="15.75" hidden="false" customHeight="true" outlineLevel="0" collapsed="false">
      <c r="A232" s="3" t="n">
        <v>3741113902001</v>
      </c>
      <c r="B232" s="3" t="s">
        <v>430</v>
      </c>
      <c r="D232" s="3" t="s">
        <v>41</v>
      </c>
      <c r="E232" s="3" t="s">
        <v>137</v>
      </c>
      <c r="F232" s="4"/>
      <c r="G232" s="5"/>
      <c r="H232" s="5" t="n">
        <v>30000</v>
      </c>
      <c r="I232" s="3" t="n">
        <v>1</v>
      </c>
      <c r="K232" s="6" t="n">
        <f aca="false">I232-J232</f>
        <v>1</v>
      </c>
      <c r="L232" s="5" t="n">
        <f aca="false">K232*H232</f>
        <v>30000</v>
      </c>
      <c r="M232" s="5" t="n">
        <f aca="false">IF(A232="","",H232*J232)</f>
        <v>0</v>
      </c>
      <c r="N232" s="5" t="n">
        <f aca="false">IF(A232="","",G232*J232)</f>
        <v>0</v>
      </c>
      <c r="O232" s="5" t="n">
        <f aca="false">IF(A232="","",M232-N232)</f>
        <v>0</v>
      </c>
      <c r="Q232" s="7" t="s">
        <v>431</v>
      </c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7" t="n">
        <f aca="false">SUMPRODUCT(--(R232:AA232&gt;0),'Настройки цен'!$B$12:$K$12)</f>
        <v>0</v>
      </c>
      <c r="AC232" s="9" t="str">
        <f aca="false">IF(AB232=0,"",SUMPRODUCT(R232:AA232,'Настройки цен'!$B$11:$K$11,'Настройки цен'!$B$12:$K$12)/AB232)</f>
        <v/>
      </c>
      <c r="AD232" s="10"/>
      <c r="AE232" s="11" t="n">
        <f aca="false">IF(AD232&lt;&gt;"",AD232,IFERROR(IF(INDEX('Настройки цен'!$B$17:$B$24,MATCH(E232,'Настройки цен'!$A$17:$A$24,0))="",'Настройки цен'!$B$5,INDEX('Настройки цен'!$B$17:$B$24,MATCH(E232,'Настройки цен'!$A$17:$A$24,0))),'Настройки цен'!$B$5))</f>
        <v>0</v>
      </c>
      <c r="AF232" s="9" t="str">
        <f aca="false">IF(AC232="","",ROUND(AC232*(1+AE232)/'Настройки цен'!$B$6,0)*'Настройки цен'!$B$6)</f>
        <v/>
      </c>
      <c r="AG232" s="12" t="str">
        <f aca="false">IF(OR(AC232="",H232=""),"",H232/AC232-1)</f>
        <v/>
      </c>
      <c r="AH232" s="7"/>
    </row>
    <row r="233" customFormat="false" ht="15.75" hidden="false" customHeight="true" outlineLevel="0" collapsed="false">
      <c r="A233" s="3" t="s">
        <v>432</v>
      </c>
      <c r="B233" s="3" t="s">
        <v>433</v>
      </c>
      <c r="D233" s="3" t="s">
        <v>41</v>
      </c>
      <c r="E233" s="3" t="s">
        <v>55</v>
      </c>
      <c r="F233" s="4"/>
      <c r="G233" s="5"/>
      <c r="H233" s="5" t="n">
        <v>200</v>
      </c>
      <c r="I233" s="3" t="n">
        <v>214</v>
      </c>
      <c r="K233" s="6" t="n">
        <f aca="false">I233-J233</f>
        <v>214</v>
      </c>
      <c r="L233" s="5" t="n">
        <f aca="false">K233*H233</f>
        <v>42800</v>
      </c>
      <c r="M233" s="5" t="n">
        <f aca="false">IF(A233="","",H233*J233)</f>
        <v>0</v>
      </c>
      <c r="N233" s="5" t="n">
        <f aca="false">IF(A233="","",G233*J233)</f>
        <v>0</v>
      </c>
      <c r="O233" s="5" t="n">
        <f aca="false">IF(A233="","",M233-N233)</f>
        <v>0</v>
      </c>
      <c r="Q233" s="7" t="s">
        <v>432</v>
      </c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7" t="n">
        <f aca="false">SUMPRODUCT(--(R233:AA233&gt;0),'Настройки цен'!$B$12:$K$12)</f>
        <v>0</v>
      </c>
      <c r="AC233" s="9" t="str">
        <f aca="false">IF(AB233=0,"",SUMPRODUCT(R233:AA233,'Настройки цен'!$B$11:$K$11,'Настройки цен'!$B$12:$K$12)/AB233)</f>
        <v/>
      </c>
      <c r="AD233" s="10"/>
      <c r="AE233" s="11" t="n">
        <f aca="false">IF(AD233&lt;&gt;"",AD233,IFERROR(IF(INDEX('Настройки цен'!$B$17:$B$24,MATCH(E233,'Настройки цен'!$A$17:$A$24,0))="",'Настройки цен'!$B$5,INDEX('Настройки цен'!$B$17:$B$24,MATCH(E233,'Настройки цен'!$A$17:$A$24,0))),'Настройки цен'!$B$5))</f>
        <v>0</v>
      </c>
      <c r="AF233" s="9" t="str">
        <f aca="false">IF(AC233="","",ROUND(AC233*(1+AE233)/'Настройки цен'!$B$6,0)*'Настройки цен'!$B$6)</f>
        <v/>
      </c>
      <c r="AG233" s="12" t="str">
        <f aca="false">IF(OR(AC233="",H233=""),"",H233/AC233-1)</f>
        <v/>
      </c>
      <c r="AH233" s="7"/>
    </row>
    <row r="234" customFormat="false" ht="15.75" hidden="false" customHeight="true" outlineLevel="0" collapsed="false">
      <c r="B234" s="3" t="s">
        <v>434</v>
      </c>
      <c r="D234" s="3" t="s">
        <v>35</v>
      </c>
      <c r="E234" s="3" t="s">
        <v>55</v>
      </c>
      <c r="F234" s="4"/>
      <c r="G234" s="5"/>
      <c r="H234" s="5" t="n">
        <v>300</v>
      </c>
      <c r="I234" s="3" t="n">
        <v>42</v>
      </c>
      <c r="K234" s="6" t="n">
        <f aca="false">I234-J234</f>
        <v>42</v>
      </c>
      <c r="L234" s="5" t="n">
        <f aca="false">K234*H234</f>
        <v>12600</v>
      </c>
      <c r="M234" s="5" t="str">
        <f aca="false">IF(A234="","",H234*J234)</f>
        <v/>
      </c>
      <c r="N234" s="5" t="str">
        <f aca="false">IF(A234="","",G234*J234)</f>
        <v/>
      </c>
      <c r="O234" s="5" t="str">
        <f aca="false">IF(A234="","",M234-N234)</f>
        <v/>
      </c>
      <c r="Q234" s="7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7" t="n">
        <f aca="false">SUMPRODUCT(--(R234:AA234&gt;0),'Настройки цен'!$B$12:$K$12)</f>
        <v>0</v>
      </c>
      <c r="AC234" s="9" t="str">
        <f aca="false">IF(AB234=0,"",SUMPRODUCT(R234:AA234,'Настройки цен'!$B$11:$K$11,'Настройки цен'!$B$12:$K$12)/AB234)</f>
        <v/>
      </c>
      <c r="AD234" s="10"/>
      <c r="AE234" s="11" t="n">
        <f aca="false">IF(AD234&lt;&gt;"",AD234,IFERROR(IF(INDEX('Настройки цен'!$B$17:$B$24,MATCH(E234,'Настройки цен'!$A$17:$A$24,0))="",'Настройки цен'!$B$5,INDEX('Настройки цен'!$B$17:$B$24,MATCH(E234,'Настройки цен'!$A$17:$A$24,0))),'Настройки цен'!$B$5))</f>
        <v>0</v>
      </c>
      <c r="AF234" s="9" t="str">
        <f aca="false">IF(AC234="","",ROUND(AC234*(1+AE234)/'Настройки цен'!$B$6,0)*'Настройки цен'!$B$6)</f>
        <v/>
      </c>
      <c r="AG234" s="12" t="str">
        <f aca="false">IF(OR(AC234="",H234=""),"",H234/AC234-1)</f>
        <v/>
      </c>
      <c r="AH234" s="7"/>
    </row>
    <row r="235" customFormat="false" ht="15.75" hidden="false" customHeight="true" outlineLevel="0" collapsed="false">
      <c r="A235" s="3" t="n">
        <v>664502218</v>
      </c>
      <c r="B235" s="3" t="s">
        <v>435</v>
      </c>
      <c r="D235" s="3" t="s">
        <v>66</v>
      </c>
      <c r="E235" s="3" t="s">
        <v>55</v>
      </c>
      <c r="F235" s="4"/>
      <c r="G235" s="5"/>
      <c r="H235" s="5" t="n">
        <v>1000</v>
      </c>
      <c r="I235" s="3" t="n">
        <v>10</v>
      </c>
      <c r="K235" s="6" t="n">
        <f aca="false">I235-J235</f>
        <v>10</v>
      </c>
      <c r="L235" s="5" t="n">
        <f aca="false">K235*H235</f>
        <v>10000</v>
      </c>
      <c r="M235" s="5" t="n">
        <f aca="false">IF(A235="","",H235*J235)</f>
        <v>0</v>
      </c>
      <c r="N235" s="5" t="n">
        <f aca="false">IF(A235="","",G235*J235)</f>
        <v>0</v>
      </c>
      <c r="O235" s="5" t="n">
        <f aca="false">IF(A235="","",M235-N235)</f>
        <v>0</v>
      </c>
      <c r="Q235" s="7" t="s">
        <v>436</v>
      </c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7" t="n">
        <f aca="false">SUMPRODUCT(--(R235:AA235&gt;0),'Настройки цен'!$B$12:$K$12)</f>
        <v>0</v>
      </c>
      <c r="AC235" s="9" t="str">
        <f aca="false">IF(AB235=0,"",SUMPRODUCT(R235:AA235,'Настройки цен'!$B$11:$K$11,'Настройки цен'!$B$12:$K$12)/AB235)</f>
        <v/>
      </c>
      <c r="AD235" s="10"/>
      <c r="AE235" s="11" t="n">
        <f aca="false">IF(AD235&lt;&gt;"",AD235,IFERROR(IF(INDEX('Настройки цен'!$B$17:$B$24,MATCH(E235,'Настройки цен'!$A$17:$A$24,0))="",'Настройки цен'!$B$5,INDEX('Настройки цен'!$B$17:$B$24,MATCH(E235,'Настройки цен'!$A$17:$A$24,0))),'Настройки цен'!$B$5))</f>
        <v>0</v>
      </c>
      <c r="AF235" s="9" t="str">
        <f aca="false">IF(AC235="","",ROUND(AC235*(1+AE235)/'Настройки цен'!$B$6,0)*'Настройки цен'!$B$6)</f>
        <v/>
      </c>
      <c r="AG235" s="12" t="str">
        <f aca="false">IF(OR(AC235="",H235=""),"",H235/AC235-1)</f>
        <v/>
      </c>
      <c r="AH235" s="7"/>
    </row>
    <row r="236" customFormat="false" ht="15.75" hidden="false" customHeight="true" outlineLevel="0" collapsed="false">
      <c r="B236" s="3" t="s">
        <v>437</v>
      </c>
      <c r="D236" s="3" t="s">
        <v>41</v>
      </c>
      <c r="E236" s="3" t="s">
        <v>55</v>
      </c>
      <c r="F236" s="4"/>
      <c r="G236" s="5"/>
      <c r="H236" s="5" t="n">
        <v>200</v>
      </c>
      <c r="I236" s="3" t="n">
        <v>105</v>
      </c>
      <c r="K236" s="6" t="n">
        <f aca="false">I236-J236</f>
        <v>105</v>
      </c>
      <c r="L236" s="5" t="n">
        <f aca="false">K236*H236</f>
        <v>21000</v>
      </c>
      <c r="M236" s="5" t="str">
        <f aca="false">IF(A236="","",H236*J236)</f>
        <v/>
      </c>
      <c r="N236" s="5" t="str">
        <f aca="false">IF(A236="","",G236*J236)</f>
        <v/>
      </c>
      <c r="O236" s="5" t="str">
        <f aca="false">IF(A236="","",M236-N236)</f>
        <v/>
      </c>
      <c r="Q236" s="7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7" t="n">
        <f aca="false">SUMPRODUCT(--(R236:AA236&gt;0),'Настройки цен'!$B$12:$K$12)</f>
        <v>0</v>
      </c>
      <c r="AC236" s="9" t="str">
        <f aca="false">IF(AB236=0,"",SUMPRODUCT(R236:AA236,'Настройки цен'!$B$11:$K$11,'Настройки цен'!$B$12:$K$12)/AB236)</f>
        <v/>
      </c>
      <c r="AD236" s="10"/>
      <c r="AE236" s="11" t="n">
        <f aca="false">IF(AD236&lt;&gt;"",AD236,IFERROR(IF(INDEX('Настройки цен'!$B$17:$B$24,MATCH(E236,'Настройки цен'!$A$17:$A$24,0))="",'Настройки цен'!$B$5,INDEX('Настройки цен'!$B$17:$B$24,MATCH(E236,'Настройки цен'!$A$17:$A$24,0))),'Настройки цен'!$B$5))</f>
        <v>0</v>
      </c>
      <c r="AF236" s="9" t="str">
        <f aca="false">IF(AC236="","",ROUND(AC236*(1+AE236)/'Настройки цен'!$B$6,0)*'Настройки цен'!$B$6)</f>
        <v/>
      </c>
      <c r="AG236" s="12" t="str">
        <f aca="false">IF(OR(AC236="",H236=""),"",H236/AC236-1)</f>
        <v/>
      </c>
      <c r="AH236" s="7"/>
    </row>
    <row r="237" customFormat="false" ht="15.75" hidden="false" customHeight="true" outlineLevel="0" collapsed="false">
      <c r="B237" s="3" t="s">
        <v>438</v>
      </c>
      <c r="D237" s="3" t="s">
        <v>41</v>
      </c>
      <c r="E237" s="3" t="s">
        <v>135</v>
      </c>
      <c r="F237" s="4"/>
      <c r="G237" s="5"/>
      <c r="H237" s="5" t="n">
        <v>3000</v>
      </c>
      <c r="I237" s="3" t="n">
        <v>2</v>
      </c>
      <c r="K237" s="6" t="n">
        <f aca="false">I237-J237</f>
        <v>2</v>
      </c>
      <c r="L237" s="5" t="n">
        <f aca="false">K237*H237</f>
        <v>6000</v>
      </c>
      <c r="M237" s="5" t="str">
        <f aca="false">IF(A237="","",H237*J237)</f>
        <v/>
      </c>
      <c r="N237" s="5" t="str">
        <f aca="false">IF(A237="","",G237*J237)</f>
        <v/>
      </c>
      <c r="O237" s="5" t="str">
        <f aca="false">IF(A237="","",M237-N237)</f>
        <v/>
      </c>
      <c r="Q237" s="7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7" t="n">
        <f aca="false">SUMPRODUCT(--(R237:AA237&gt;0),'Настройки цен'!$B$12:$K$12)</f>
        <v>0</v>
      </c>
      <c r="AC237" s="9" t="str">
        <f aca="false">IF(AB237=0,"",SUMPRODUCT(R237:AA237,'Настройки цен'!$B$11:$K$11,'Настройки цен'!$B$12:$K$12)/AB237)</f>
        <v/>
      </c>
      <c r="AD237" s="10"/>
      <c r="AE237" s="11" t="n">
        <f aca="false">IF(AD237&lt;&gt;"",AD237,IFERROR(IF(INDEX('Настройки цен'!$B$17:$B$24,MATCH(E237,'Настройки цен'!$A$17:$A$24,0))="",'Настройки цен'!$B$5,INDEX('Настройки цен'!$B$17:$B$24,MATCH(E237,'Настройки цен'!$A$17:$A$24,0))),'Настройки цен'!$B$5))</f>
        <v>0</v>
      </c>
      <c r="AF237" s="9" t="str">
        <f aca="false">IF(AC237="","",ROUND(AC237*(1+AE237)/'Настройки цен'!$B$6,0)*'Настройки цен'!$B$6)</f>
        <v/>
      </c>
      <c r="AG237" s="12" t="str">
        <f aca="false">IF(OR(AC237="",H237=""),"",H237/AC237-1)</f>
        <v/>
      </c>
      <c r="AH237" s="7"/>
    </row>
    <row r="238" customFormat="false" ht="15.75" hidden="false" customHeight="true" outlineLevel="0" collapsed="false">
      <c r="A238" s="3" t="s">
        <v>439</v>
      </c>
      <c r="B238" s="3" t="s">
        <v>440</v>
      </c>
      <c r="D238" s="3" t="s">
        <v>273</v>
      </c>
      <c r="E238" s="3" t="s">
        <v>137</v>
      </c>
      <c r="F238" s="4"/>
      <c r="G238" s="5"/>
      <c r="H238" s="5" t="n">
        <v>10000</v>
      </c>
      <c r="I238" s="3" t="n">
        <v>5</v>
      </c>
      <c r="K238" s="6" t="n">
        <f aca="false">I238-J238</f>
        <v>5</v>
      </c>
      <c r="L238" s="5" t="n">
        <f aca="false">K238*H238</f>
        <v>50000</v>
      </c>
      <c r="M238" s="5" t="n">
        <f aca="false">IF(A238="","",H238*J238)</f>
        <v>0</v>
      </c>
      <c r="N238" s="5" t="n">
        <f aca="false">IF(A238="","",G238*J238)</f>
        <v>0</v>
      </c>
      <c r="O238" s="5" t="n">
        <f aca="false">IF(A238="","",M238-N238)</f>
        <v>0</v>
      </c>
      <c r="Q238" s="7" t="s">
        <v>439</v>
      </c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7" t="n">
        <f aca="false">SUMPRODUCT(--(R238:AA238&gt;0),'Настройки цен'!$B$12:$K$12)</f>
        <v>0</v>
      </c>
      <c r="AC238" s="9" t="str">
        <f aca="false">IF(AB238=0,"",SUMPRODUCT(R238:AA238,'Настройки цен'!$B$11:$K$11,'Настройки цен'!$B$12:$K$12)/AB238)</f>
        <v/>
      </c>
      <c r="AD238" s="10"/>
      <c r="AE238" s="11" t="n">
        <f aca="false">IF(AD238&lt;&gt;"",AD238,IFERROR(IF(INDEX('Настройки цен'!$B$17:$B$24,MATCH(E238,'Настройки цен'!$A$17:$A$24,0))="",'Настройки цен'!$B$5,INDEX('Настройки цен'!$B$17:$B$24,MATCH(E238,'Настройки цен'!$A$17:$A$24,0))),'Настройки цен'!$B$5))</f>
        <v>0</v>
      </c>
      <c r="AF238" s="9" t="str">
        <f aca="false">IF(AC238="","",ROUND(AC238*(1+AE238)/'Настройки цен'!$B$6,0)*'Настройки цен'!$B$6)</f>
        <v/>
      </c>
      <c r="AG238" s="12" t="str">
        <f aca="false">IF(OR(AC238="",H238=""),"",H238/AC238-1)</f>
        <v/>
      </c>
      <c r="AH238" s="7"/>
    </row>
    <row r="239" customFormat="false" ht="15.75" hidden="false" customHeight="true" outlineLevel="0" collapsed="false">
      <c r="B239" s="3" t="s">
        <v>441</v>
      </c>
      <c r="D239" s="3" t="s">
        <v>41</v>
      </c>
      <c r="E239" s="3" t="s">
        <v>135</v>
      </c>
      <c r="F239" s="4"/>
      <c r="G239" s="5"/>
      <c r="H239" s="5" t="n">
        <v>6000</v>
      </c>
      <c r="I239" s="3" t="n">
        <v>4</v>
      </c>
      <c r="K239" s="6" t="n">
        <f aca="false">I239-J239</f>
        <v>4</v>
      </c>
      <c r="L239" s="5" t="n">
        <f aca="false">K239*H239</f>
        <v>24000</v>
      </c>
      <c r="M239" s="5" t="str">
        <f aca="false">IF(A239="","",H239*J239)</f>
        <v/>
      </c>
      <c r="N239" s="5" t="str">
        <f aca="false">IF(A239="","",G239*J239)</f>
        <v/>
      </c>
      <c r="O239" s="5" t="str">
        <f aca="false">IF(A239="","",M239-N239)</f>
        <v/>
      </c>
      <c r="Q239" s="7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7" t="n">
        <f aca="false">SUMPRODUCT(--(R239:AA239&gt;0),'Настройки цен'!$B$12:$K$12)</f>
        <v>0</v>
      </c>
      <c r="AC239" s="9" t="str">
        <f aca="false">IF(AB239=0,"",SUMPRODUCT(R239:AA239,'Настройки цен'!$B$11:$K$11,'Настройки цен'!$B$12:$K$12)/AB239)</f>
        <v/>
      </c>
      <c r="AD239" s="10"/>
      <c r="AE239" s="11" t="n">
        <f aca="false">IF(AD239&lt;&gt;"",AD239,IFERROR(IF(INDEX('Настройки цен'!$B$17:$B$24,MATCH(E239,'Настройки цен'!$A$17:$A$24,0))="",'Настройки цен'!$B$5,INDEX('Настройки цен'!$B$17:$B$24,MATCH(E239,'Настройки цен'!$A$17:$A$24,0))),'Настройки цен'!$B$5))</f>
        <v>0</v>
      </c>
      <c r="AF239" s="9" t="str">
        <f aca="false">IF(AC239="","",ROUND(AC239*(1+AE239)/'Настройки цен'!$B$6,0)*'Настройки цен'!$B$6)</f>
        <v/>
      </c>
      <c r="AG239" s="12" t="str">
        <f aca="false">IF(OR(AC239="",H239=""),"",H239/AC239-1)</f>
        <v/>
      </c>
      <c r="AH239" s="7"/>
    </row>
    <row r="240" customFormat="false" ht="15.75" hidden="false" customHeight="true" outlineLevel="0" collapsed="false">
      <c r="B240" s="3" t="s">
        <v>442</v>
      </c>
      <c r="D240" s="3" t="s">
        <v>41</v>
      </c>
      <c r="E240" s="3" t="s">
        <v>55</v>
      </c>
      <c r="F240" s="4"/>
      <c r="G240" s="5"/>
      <c r="H240" s="5" t="n">
        <v>250000</v>
      </c>
      <c r="I240" s="3" t="n">
        <v>1</v>
      </c>
      <c r="K240" s="6" t="n">
        <f aca="false">I240-J240</f>
        <v>1</v>
      </c>
      <c r="L240" s="5" t="n">
        <f aca="false">K240*H240</f>
        <v>250000</v>
      </c>
      <c r="M240" s="5" t="str">
        <f aca="false">IF(A240="","",H240*J240)</f>
        <v/>
      </c>
      <c r="N240" s="5" t="str">
        <f aca="false">IF(A240="","",G240*J240)</f>
        <v/>
      </c>
      <c r="O240" s="5" t="str">
        <f aca="false">IF(A240="","",M240-N240)</f>
        <v/>
      </c>
      <c r="Q240" s="7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7" t="n">
        <f aca="false">SUMPRODUCT(--(R240:AA240&gt;0),'Настройки цен'!$B$12:$K$12)</f>
        <v>0</v>
      </c>
      <c r="AC240" s="9" t="str">
        <f aca="false">IF(AB240=0,"",SUMPRODUCT(R240:AA240,'Настройки цен'!$B$11:$K$11,'Настройки цен'!$B$12:$K$12)/AB240)</f>
        <v/>
      </c>
      <c r="AD240" s="10"/>
      <c r="AE240" s="11" t="n">
        <f aca="false">IF(AD240&lt;&gt;"",AD240,IFERROR(IF(INDEX('Настройки цен'!$B$17:$B$24,MATCH(E240,'Настройки цен'!$A$17:$A$24,0))="",'Настройки цен'!$B$5,INDEX('Настройки цен'!$B$17:$B$24,MATCH(E240,'Настройки цен'!$A$17:$A$24,0))),'Настройки цен'!$B$5))</f>
        <v>0</v>
      </c>
      <c r="AF240" s="9" t="str">
        <f aca="false">IF(AC240="","",ROUND(AC240*(1+AE240)/'Настройки цен'!$B$6,0)*'Настройки цен'!$B$6)</f>
        <v/>
      </c>
      <c r="AG240" s="12" t="str">
        <f aca="false">IF(OR(AC240="",H240=""),"",H240/AC240-1)</f>
        <v/>
      </c>
      <c r="AH240" s="7"/>
    </row>
    <row r="241" customFormat="false" ht="15.75" hidden="false" customHeight="true" outlineLevel="0" collapsed="false">
      <c r="A241" s="3" t="n">
        <v>33023401090</v>
      </c>
      <c r="B241" s="3" t="s">
        <v>443</v>
      </c>
      <c r="D241" s="3" t="s">
        <v>222</v>
      </c>
      <c r="E241" s="3" t="s">
        <v>55</v>
      </c>
      <c r="F241" s="4"/>
      <c r="G241" s="5"/>
      <c r="H241" s="5" t="n">
        <v>12000</v>
      </c>
      <c r="I241" s="3" t="n">
        <v>1</v>
      </c>
      <c r="K241" s="6" t="n">
        <f aca="false">I241-J241</f>
        <v>1</v>
      </c>
      <c r="L241" s="5" t="n">
        <f aca="false">K241*H241</f>
        <v>12000</v>
      </c>
      <c r="M241" s="5" t="n">
        <f aca="false">IF(A241="","",H241*J241)</f>
        <v>0</v>
      </c>
      <c r="N241" s="5" t="n">
        <f aca="false">IF(A241="","",G241*J241)</f>
        <v>0</v>
      </c>
      <c r="O241" s="5" t="n">
        <f aca="false">IF(A241="","",M241-N241)</f>
        <v>0</v>
      </c>
      <c r="Q241" s="7" t="s">
        <v>444</v>
      </c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7" t="n">
        <f aca="false">SUMPRODUCT(--(R241:AA241&gt;0),'Настройки цен'!$B$12:$K$12)</f>
        <v>0</v>
      </c>
      <c r="AC241" s="9" t="str">
        <f aca="false">IF(AB241=0,"",SUMPRODUCT(R241:AA241,'Настройки цен'!$B$11:$K$11,'Настройки цен'!$B$12:$K$12)/AB241)</f>
        <v/>
      </c>
      <c r="AD241" s="10"/>
      <c r="AE241" s="11" t="n">
        <f aca="false">IF(AD241&lt;&gt;"",AD241,IFERROR(IF(INDEX('Настройки цен'!$B$17:$B$24,MATCH(E241,'Настройки цен'!$A$17:$A$24,0))="",'Настройки цен'!$B$5,INDEX('Настройки цен'!$B$17:$B$24,MATCH(E241,'Настройки цен'!$A$17:$A$24,0))),'Настройки цен'!$B$5))</f>
        <v>0</v>
      </c>
      <c r="AF241" s="9" t="str">
        <f aca="false">IF(AC241="","",ROUND(AC241*(1+AE241)/'Настройки цен'!$B$6,0)*'Настройки цен'!$B$6)</f>
        <v/>
      </c>
      <c r="AG241" s="12" t="str">
        <f aca="false">IF(OR(AC241="",H241=""),"",H241/AC241-1)</f>
        <v/>
      </c>
      <c r="AH241" s="7"/>
    </row>
    <row r="242" customFormat="false" ht="15.75" hidden="false" customHeight="true" outlineLevel="0" collapsed="false">
      <c r="A242" s="3" t="n">
        <v>4171109130</v>
      </c>
      <c r="B242" s="3" t="s">
        <v>445</v>
      </c>
      <c r="D242" s="3" t="s">
        <v>273</v>
      </c>
      <c r="E242" s="3" t="s">
        <v>70</v>
      </c>
      <c r="F242" s="4"/>
      <c r="G242" s="5"/>
      <c r="H242" s="5" t="n">
        <v>4000</v>
      </c>
      <c r="I242" s="3" t="n">
        <v>1</v>
      </c>
      <c r="K242" s="6" t="n">
        <f aca="false">I242-J242</f>
        <v>1</v>
      </c>
      <c r="L242" s="5" t="n">
        <f aca="false">K242*H242</f>
        <v>4000</v>
      </c>
      <c r="M242" s="5" t="n">
        <f aca="false">IF(A242="","",H242*J242)</f>
        <v>0</v>
      </c>
      <c r="N242" s="5" t="n">
        <f aca="false">IF(A242="","",G242*J242)</f>
        <v>0</v>
      </c>
      <c r="O242" s="5" t="n">
        <f aca="false">IF(A242="","",M242-N242)</f>
        <v>0</v>
      </c>
      <c r="Q242" s="7" t="s">
        <v>446</v>
      </c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7" t="n">
        <f aca="false">SUMPRODUCT(--(R242:AA242&gt;0),'Настройки цен'!$B$12:$K$12)</f>
        <v>0</v>
      </c>
      <c r="AC242" s="9" t="str">
        <f aca="false">IF(AB242=0,"",SUMPRODUCT(R242:AA242,'Настройки цен'!$B$11:$K$11,'Настройки цен'!$B$12:$K$12)/AB242)</f>
        <v/>
      </c>
      <c r="AD242" s="10"/>
      <c r="AE242" s="11" t="n">
        <f aca="false">IF(AD242&lt;&gt;"",AD242,IFERROR(IF(INDEX('Настройки цен'!$B$17:$B$24,MATCH(E242,'Настройки цен'!$A$17:$A$24,0))="",'Настройки цен'!$B$5,INDEX('Настройки цен'!$B$17:$B$24,MATCH(E242,'Настройки цен'!$A$17:$A$24,0))),'Настройки цен'!$B$5))</f>
        <v>0</v>
      </c>
      <c r="AF242" s="9" t="str">
        <f aca="false">IF(AC242="","",ROUND(AC242*(1+AE242)/'Настройки цен'!$B$6,0)*'Настройки цен'!$B$6)</f>
        <v/>
      </c>
      <c r="AG242" s="12" t="str">
        <f aca="false">IF(OR(AC242="",H242=""),"",H242/AC242-1)</f>
        <v/>
      </c>
      <c r="AH242" s="7"/>
    </row>
    <row r="243" customFormat="false" ht="15.75" hidden="false" customHeight="true" outlineLevel="0" collapsed="false">
      <c r="A243" s="3" t="n">
        <v>4691701068</v>
      </c>
      <c r="B243" s="3" t="s">
        <v>447</v>
      </c>
      <c r="D243" s="3" t="s">
        <v>41</v>
      </c>
      <c r="E243" s="3" t="s">
        <v>55</v>
      </c>
      <c r="F243" s="4"/>
      <c r="G243" s="5"/>
      <c r="H243" s="5" t="n">
        <v>1000</v>
      </c>
      <c r="I243" s="3" t="n">
        <v>5</v>
      </c>
      <c r="K243" s="6" t="n">
        <f aca="false">I243-J243</f>
        <v>5</v>
      </c>
      <c r="L243" s="5" t="n">
        <f aca="false">K243*H243</f>
        <v>5000</v>
      </c>
      <c r="M243" s="5" t="n">
        <f aca="false">IF(A243="","",H243*J243)</f>
        <v>0</v>
      </c>
      <c r="N243" s="5" t="n">
        <f aca="false">IF(A243="","",G243*J243)</f>
        <v>0</v>
      </c>
      <c r="O243" s="5" t="n">
        <f aca="false">IF(A243="","",M243-N243)</f>
        <v>0</v>
      </c>
      <c r="Q243" s="7" t="s">
        <v>448</v>
      </c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7" t="n">
        <f aca="false">SUMPRODUCT(--(R243:AA243&gt;0),'Настройки цен'!$B$12:$K$12)</f>
        <v>0</v>
      </c>
      <c r="AC243" s="9" t="str">
        <f aca="false">IF(AB243=0,"",SUMPRODUCT(R243:AA243,'Настройки цен'!$B$11:$K$11,'Настройки цен'!$B$12:$K$12)/AB243)</f>
        <v/>
      </c>
      <c r="AD243" s="10"/>
      <c r="AE243" s="11" t="n">
        <f aca="false">IF(AD243&lt;&gt;"",AD243,IFERROR(IF(INDEX('Настройки цен'!$B$17:$B$24,MATCH(E243,'Настройки цен'!$A$17:$A$24,0))="",'Настройки цен'!$B$5,INDEX('Настройки цен'!$B$17:$B$24,MATCH(E243,'Настройки цен'!$A$17:$A$24,0))),'Настройки цен'!$B$5))</f>
        <v>0</v>
      </c>
      <c r="AF243" s="9" t="str">
        <f aca="false">IF(AC243="","",ROUND(AC243*(1+AE243)/'Настройки цен'!$B$6,0)*'Настройки цен'!$B$6)</f>
        <v/>
      </c>
      <c r="AG243" s="12" t="str">
        <f aca="false">IF(OR(AC243="",H243=""),"",H243/AC243-1)</f>
        <v/>
      </c>
      <c r="AH243" s="7"/>
    </row>
    <row r="244" customFormat="false" ht="15.75" hidden="false" customHeight="true" outlineLevel="0" collapsed="false">
      <c r="A244" s="3" t="n">
        <v>31602905550</v>
      </c>
      <c r="B244" s="3" t="s">
        <v>449</v>
      </c>
      <c r="D244" s="3" t="s">
        <v>41</v>
      </c>
      <c r="E244" s="3" t="s">
        <v>55</v>
      </c>
      <c r="F244" s="4"/>
      <c r="G244" s="5"/>
      <c r="H244" s="5" t="n">
        <v>2000</v>
      </c>
      <c r="I244" s="3" t="n">
        <v>2</v>
      </c>
      <c r="K244" s="6" t="n">
        <f aca="false">I244-J244</f>
        <v>2</v>
      </c>
      <c r="L244" s="5" t="n">
        <f aca="false">K244*H244</f>
        <v>4000</v>
      </c>
      <c r="M244" s="5" t="n">
        <f aca="false">IF(A244="","",H244*J244)</f>
        <v>0</v>
      </c>
      <c r="N244" s="5" t="n">
        <f aca="false">IF(A244="","",G244*J244)</f>
        <v>0</v>
      </c>
      <c r="O244" s="5" t="n">
        <f aca="false">IF(A244="","",M244-N244)</f>
        <v>0</v>
      </c>
      <c r="Q244" s="7" t="s">
        <v>450</v>
      </c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7" t="n">
        <f aca="false">SUMPRODUCT(--(R244:AA244&gt;0),'Настройки цен'!$B$12:$K$12)</f>
        <v>0</v>
      </c>
      <c r="AC244" s="9" t="str">
        <f aca="false">IF(AB244=0,"",SUMPRODUCT(R244:AA244,'Настройки цен'!$B$11:$K$11,'Настройки цен'!$B$12:$K$12)/AB244)</f>
        <v/>
      </c>
      <c r="AD244" s="10"/>
      <c r="AE244" s="11" t="n">
        <f aca="false">IF(AD244&lt;&gt;"",AD244,IFERROR(IF(INDEX('Настройки цен'!$B$17:$B$24,MATCH(E244,'Настройки цен'!$A$17:$A$24,0))="",'Настройки цен'!$B$5,INDEX('Настройки цен'!$B$17:$B$24,MATCH(E244,'Настройки цен'!$A$17:$A$24,0))),'Настройки цен'!$B$5))</f>
        <v>0</v>
      </c>
      <c r="AF244" s="9" t="str">
        <f aca="false">IF(AC244="","",ROUND(AC244*(1+AE244)/'Настройки цен'!$B$6,0)*'Настройки цен'!$B$6)</f>
        <v/>
      </c>
      <c r="AG244" s="12" t="str">
        <f aca="false">IF(OR(AC244="",H244=""),"",H244/AC244-1)</f>
        <v/>
      </c>
      <c r="AH244" s="7"/>
    </row>
    <row r="245" customFormat="false" ht="15.75" hidden="false" customHeight="true" outlineLevel="0" collapsed="false">
      <c r="B245" s="3" t="s">
        <v>451</v>
      </c>
      <c r="D245" s="3" t="s">
        <v>41</v>
      </c>
      <c r="E245" s="3" t="s">
        <v>37</v>
      </c>
      <c r="F245" s="4"/>
      <c r="G245" s="5"/>
      <c r="H245" s="5" t="n">
        <v>500</v>
      </c>
      <c r="I245" s="3" t="n">
        <v>48</v>
      </c>
      <c r="K245" s="6" t="n">
        <f aca="false">I245-J245</f>
        <v>48</v>
      </c>
      <c r="L245" s="5" t="n">
        <f aca="false">K245*H245</f>
        <v>24000</v>
      </c>
      <c r="M245" s="5" t="str">
        <f aca="false">IF(A245="","",H245*J245)</f>
        <v/>
      </c>
      <c r="N245" s="5" t="str">
        <f aca="false">IF(A245="","",G245*J245)</f>
        <v/>
      </c>
      <c r="O245" s="5" t="str">
        <f aca="false">IF(A245="","",M245-N245)</f>
        <v/>
      </c>
      <c r="Q245" s="7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7" t="n">
        <f aca="false">SUMPRODUCT(--(R245:AA245&gt;0),'Настройки цен'!$B$12:$K$12)</f>
        <v>0</v>
      </c>
      <c r="AC245" s="9" t="str">
        <f aca="false">IF(AB245=0,"",SUMPRODUCT(R245:AA245,'Настройки цен'!$B$11:$K$11,'Настройки цен'!$B$12:$K$12)/AB245)</f>
        <v/>
      </c>
      <c r="AD245" s="10"/>
      <c r="AE245" s="11" t="n">
        <f aca="false">IF(AD245&lt;&gt;"",AD245,IFERROR(IF(INDEX('Настройки цен'!$B$17:$B$24,MATCH(E245,'Настройки цен'!$A$17:$A$24,0))="",'Настройки цен'!$B$5,INDEX('Настройки цен'!$B$17:$B$24,MATCH(E245,'Настройки цен'!$A$17:$A$24,0))),'Настройки цен'!$B$5))</f>
        <v>0</v>
      </c>
      <c r="AF245" s="9" t="str">
        <f aca="false">IF(AC245="","",ROUND(AC245*(1+AE245)/'Настройки цен'!$B$6,0)*'Настройки цен'!$B$6)</f>
        <v/>
      </c>
      <c r="AG245" s="12" t="str">
        <f aca="false">IF(OR(AC245="",H245=""),"",H245/AC245-1)</f>
        <v/>
      </c>
      <c r="AH245" s="7"/>
    </row>
    <row r="246" customFormat="false" ht="15.75" hidden="false" customHeight="true" outlineLevel="0" collapsed="false">
      <c r="A246" s="3" t="n">
        <v>6900310302400</v>
      </c>
      <c r="B246" s="3" t="s">
        <v>452</v>
      </c>
      <c r="D246" s="3" t="s">
        <v>41</v>
      </c>
      <c r="E246" s="3" t="s">
        <v>55</v>
      </c>
      <c r="F246" s="4"/>
      <c r="G246" s="5"/>
      <c r="H246" s="5" t="n">
        <v>1000</v>
      </c>
      <c r="I246" s="3" t="n">
        <v>5</v>
      </c>
      <c r="K246" s="6" t="n">
        <f aca="false">I246-J246</f>
        <v>5</v>
      </c>
      <c r="L246" s="5" t="n">
        <f aca="false">K246*H246</f>
        <v>5000</v>
      </c>
      <c r="M246" s="5" t="n">
        <f aca="false">IF(A246="","",H246*J246)</f>
        <v>0</v>
      </c>
      <c r="N246" s="5" t="n">
        <f aca="false">IF(A246="","",G246*J246)</f>
        <v>0</v>
      </c>
      <c r="O246" s="5" t="n">
        <f aca="false">IF(A246="","",M246-N246)</f>
        <v>0</v>
      </c>
      <c r="Q246" s="7" t="s">
        <v>453</v>
      </c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7" t="n">
        <f aca="false">SUMPRODUCT(--(R246:AA246&gt;0),'Настройки цен'!$B$12:$K$12)</f>
        <v>0</v>
      </c>
      <c r="AC246" s="9" t="str">
        <f aca="false">IF(AB246=0,"",SUMPRODUCT(R246:AA246,'Настройки цен'!$B$11:$K$11,'Настройки цен'!$B$12:$K$12)/AB246)</f>
        <v/>
      </c>
      <c r="AD246" s="10"/>
      <c r="AE246" s="11" t="n">
        <f aca="false">IF(AD246&lt;&gt;"",AD246,IFERROR(IF(INDEX('Настройки цен'!$B$17:$B$24,MATCH(E246,'Настройки цен'!$A$17:$A$24,0))="",'Настройки цен'!$B$5,INDEX('Настройки цен'!$B$17:$B$24,MATCH(E246,'Настройки цен'!$A$17:$A$24,0))),'Настройки цен'!$B$5))</f>
        <v>0</v>
      </c>
      <c r="AF246" s="9" t="str">
        <f aca="false">IF(AC246="","",ROUND(AC246*(1+AE246)/'Настройки цен'!$B$6,0)*'Настройки цен'!$B$6)</f>
        <v/>
      </c>
      <c r="AG246" s="12" t="str">
        <f aca="false">IF(OR(AC246="",H246=""),"",H246/AC246-1)</f>
        <v/>
      </c>
      <c r="AH246" s="7"/>
    </row>
    <row r="247" customFormat="false" ht="15.75" hidden="false" customHeight="true" outlineLevel="0" collapsed="false">
      <c r="A247" s="3" t="n">
        <v>692401055</v>
      </c>
      <c r="B247" s="3" t="s">
        <v>454</v>
      </c>
      <c r="D247" s="3" t="s">
        <v>41</v>
      </c>
      <c r="E247" s="3" t="s">
        <v>55</v>
      </c>
      <c r="F247" s="4"/>
      <c r="G247" s="5"/>
      <c r="H247" s="5" t="n">
        <v>300</v>
      </c>
      <c r="I247" s="3" t="n">
        <v>4</v>
      </c>
      <c r="K247" s="6" t="n">
        <f aca="false">I247-J247</f>
        <v>4</v>
      </c>
      <c r="L247" s="5" t="n">
        <f aca="false">K247*H247</f>
        <v>1200</v>
      </c>
      <c r="M247" s="5" t="n">
        <f aca="false">IF(A247="","",H247*J247)</f>
        <v>0</v>
      </c>
      <c r="N247" s="5" t="n">
        <f aca="false">IF(A247="","",G247*J247)</f>
        <v>0</v>
      </c>
      <c r="O247" s="5" t="n">
        <f aca="false">IF(A247="","",M247-N247)</f>
        <v>0</v>
      </c>
      <c r="Q247" s="7" t="s">
        <v>455</v>
      </c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7" t="n">
        <f aca="false">SUMPRODUCT(--(R247:AA247&gt;0),'Настройки цен'!$B$12:$K$12)</f>
        <v>0</v>
      </c>
      <c r="AC247" s="9" t="str">
        <f aca="false">IF(AB247=0,"",SUMPRODUCT(R247:AA247,'Настройки цен'!$B$11:$K$11,'Настройки цен'!$B$12:$K$12)/AB247)</f>
        <v/>
      </c>
      <c r="AD247" s="10"/>
      <c r="AE247" s="11" t="n">
        <f aca="false">IF(AD247&lt;&gt;"",AD247,IFERROR(IF(INDEX('Настройки цен'!$B$17:$B$24,MATCH(E247,'Настройки цен'!$A$17:$A$24,0))="",'Настройки цен'!$B$5,INDEX('Настройки цен'!$B$17:$B$24,MATCH(E247,'Настройки цен'!$A$17:$A$24,0))),'Настройки цен'!$B$5))</f>
        <v>0</v>
      </c>
      <c r="AF247" s="9" t="str">
        <f aca="false">IF(AC247="","",ROUND(AC247*(1+AE247)/'Настройки цен'!$B$6,0)*'Настройки цен'!$B$6)</f>
        <v/>
      </c>
      <c r="AG247" s="12" t="str">
        <f aca="false">IF(OR(AC247="",H247=""),"",H247/AC247-1)</f>
        <v/>
      </c>
      <c r="AH247" s="7"/>
    </row>
    <row r="248" customFormat="false" ht="15.75" hidden="false" customHeight="true" outlineLevel="0" collapsed="false">
      <c r="A248" s="3" t="n">
        <v>61000121168200</v>
      </c>
      <c r="B248" s="3" t="s">
        <v>456</v>
      </c>
      <c r="D248" s="3" t="s">
        <v>41</v>
      </c>
      <c r="E248" s="3" t="s">
        <v>55</v>
      </c>
      <c r="F248" s="4"/>
      <c r="G248" s="5"/>
      <c r="H248" s="5" t="n">
        <v>300</v>
      </c>
      <c r="I248" s="3" t="n">
        <v>5</v>
      </c>
      <c r="K248" s="6" t="n">
        <f aca="false">I248-J248</f>
        <v>5</v>
      </c>
      <c r="L248" s="5" t="n">
        <f aca="false">K248*H248</f>
        <v>1500</v>
      </c>
      <c r="M248" s="5" t="n">
        <f aca="false">IF(A248="","",H248*J248)</f>
        <v>0</v>
      </c>
      <c r="N248" s="5" t="n">
        <f aca="false">IF(A248="","",G248*J248)</f>
        <v>0</v>
      </c>
      <c r="O248" s="5" t="n">
        <f aca="false">IF(A248="","",M248-N248)</f>
        <v>0</v>
      </c>
      <c r="Q248" s="7" t="s">
        <v>457</v>
      </c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7" t="n">
        <f aca="false">SUMPRODUCT(--(R248:AA248&gt;0),'Настройки цен'!$B$12:$K$12)</f>
        <v>0</v>
      </c>
      <c r="AC248" s="9" t="str">
        <f aca="false">IF(AB248=0,"",SUMPRODUCT(R248:AA248,'Настройки цен'!$B$11:$K$11,'Настройки цен'!$B$12:$K$12)/AB248)</f>
        <v/>
      </c>
      <c r="AD248" s="10"/>
      <c r="AE248" s="11" t="n">
        <f aca="false">IF(AD248&lt;&gt;"",AD248,IFERROR(IF(INDEX('Настройки цен'!$B$17:$B$24,MATCH(E248,'Настройки цен'!$A$17:$A$24,0))="",'Настройки цен'!$B$5,INDEX('Настройки цен'!$B$17:$B$24,MATCH(E248,'Настройки цен'!$A$17:$A$24,0))),'Настройки цен'!$B$5))</f>
        <v>0</v>
      </c>
      <c r="AF248" s="9" t="str">
        <f aca="false">IF(AC248="","",ROUND(AC248*(1+AE248)/'Настройки цен'!$B$6,0)*'Настройки цен'!$B$6)</f>
        <v/>
      </c>
      <c r="AG248" s="12" t="str">
        <f aca="false">IF(OR(AC248="",H248=""),"",H248/AC248-1)</f>
        <v/>
      </c>
      <c r="AH248" s="7"/>
    </row>
    <row r="249" customFormat="false" ht="15.75" hidden="false" customHeight="true" outlineLevel="0" collapsed="false">
      <c r="B249" s="3" t="s">
        <v>458</v>
      </c>
      <c r="D249" s="3" t="s">
        <v>41</v>
      </c>
      <c r="E249" s="3" t="s">
        <v>111</v>
      </c>
      <c r="F249" s="4"/>
      <c r="G249" s="5"/>
      <c r="H249" s="5" t="n">
        <v>3000</v>
      </c>
      <c r="I249" s="3" t="n">
        <v>2</v>
      </c>
      <c r="K249" s="6" t="n">
        <f aca="false">I249-J249</f>
        <v>2</v>
      </c>
      <c r="L249" s="5" t="n">
        <f aca="false">K249*H249</f>
        <v>6000</v>
      </c>
      <c r="M249" s="5" t="str">
        <f aca="false">IF(A249="","",H249*J249)</f>
        <v/>
      </c>
      <c r="N249" s="5" t="str">
        <f aca="false">IF(A249="","",G249*J249)</f>
        <v/>
      </c>
      <c r="O249" s="5" t="str">
        <f aca="false">IF(A249="","",M249-N249)</f>
        <v/>
      </c>
      <c r="Q249" s="7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7" t="n">
        <f aca="false">SUMPRODUCT(--(R249:AA249&gt;0),'Настройки цен'!$B$12:$K$12)</f>
        <v>0</v>
      </c>
      <c r="AC249" s="9" t="str">
        <f aca="false">IF(AB249=0,"",SUMPRODUCT(R249:AA249,'Настройки цен'!$B$11:$K$11,'Настройки цен'!$B$12:$K$12)/AB249)</f>
        <v/>
      </c>
      <c r="AD249" s="10"/>
      <c r="AE249" s="11" t="n">
        <f aca="false">IF(AD249&lt;&gt;"",AD249,IFERROR(IF(INDEX('Настройки цен'!$B$17:$B$24,MATCH(E249,'Настройки цен'!$A$17:$A$24,0))="",'Настройки цен'!$B$5,INDEX('Настройки цен'!$B$17:$B$24,MATCH(E249,'Настройки цен'!$A$17:$A$24,0))),'Настройки цен'!$B$5))</f>
        <v>0</v>
      </c>
      <c r="AF249" s="9" t="str">
        <f aca="false">IF(AC249="","",ROUND(AC249*(1+AE249)/'Настройки цен'!$B$6,0)*'Настройки цен'!$B$6)</f>
        <v/>
      </c>
      <c r="AG249" s="12" t="str">
        <f aca="false">IF(OR(AC249="",H249=""),"",H249/AC249-1)</f>
        <v/>
      </c>
      <c r="AH249" s="7"/>
    </row>
    <row r="250" customFormat="false" ht="15.75" hidden="false" customHeight="true" outlineLevel="0" collapsed="false">
      <c r="B250" s="3" t="s">
        <v>459</v>
      </c>
      <c r="D250" s="3" t="s">
        <v>66</v>
      </c>
      <c r="E250" s="3" t="s">
        <v>137</v>
      </c>
      <c r="F250" s="4"/>
      <c r="G250" s="5"/>
      <c r="H250" s="5" t="n">
        <v>20000</v>
      </c>
      <c r="I250" s="3" t="n">
        <v>1</v>
      </c>
      <c r="K250" s="6" t="n">
        <f aca="false">I250-J250</f>
        <v>1</v>
      </c>
      <c r="L250" s="5" t="n">
        <f aca="false">K250*H250</f>
        <v>20000</v>
      </c>
      <c r="M250" s="5" t="str">
        <f aca="false">IF(A250="","",H250*J250)</f>
        <v/>
      </c>
      <c r="N250" s="5" t="str">
        <f aca="false">IF(A250="","",G250*J250)</f>
        <v/>
      </c>
      <c r="O250" s="5" t="str">
        <f aca="false">IF(A250="","",M250-N250)</f>
        <v/>
      </c>
      <c r="Q250" s="7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7" t="n">
        <f aca="false">SUMPRODUCT(--(R250:AA250&gt;0),'Настройки цен'!$B$12:$K$12)</f>
        <v>0</v>
      </c>
      <c r="AC250" s="9" t="str">
        <f aca="false">IF(AB250=0,"",SUMPRODUCT(R250:AA250,'Настройки цен'!$B$11:$K$11,'Настройки цен'!$B$12:$K$12)/AB250)</f>
        <v/>
      </c>
      <c r="AD250" s="10"/>
      <c r="AE250" s="11" t="n">
        <f aca="false">IF(AD250&lt;&gt;"",AD250,IFERROR(IF(INDEX('Настройки цен'!$B$17:$B$24,MATCH(E250,'Настройки цен'!$A$17:$A$24,0))="",'Настройки цен'!$B$5,INDEX('Настройки цен'!$B$17:$B$24,MATCH(E250,'Настройки цен'!$A$17:$A$24,0))),'Настройки цен'!$B$5))</f>
        <v>0</v>
      </c>
      <c r="AF250" s="9" t="str">
        <f aca="false">IF(AC250="","",ROUND(AC250*(1+AE250)/'Настройки цен'!$B$6,0)*'Настройки цен'!$B$6)</f>
        <v/>
      </c>
      <c r="AG250" s="12" t="str">
        <f aca="false">IF(OR(AC250="",H250=""),"",H250/AC250-1)</f>
        <v/>
      </c>
      <c r="AH250" s="7"/>
    </row>
    <row r="251" customFormat="false" ht="15.75" hidden="false" customHeight="true" outlineLevel="0" collapsed="false">
      <c r="A251" s="3" t="s">
        <v>460</v>
      </c>
      <c r="B251" s="3" t="s">
        <v>461</v>
      </c>
      <c r="D251" s="3" t="s">
        <v>66</v>
      </c>
      <c r="E251" s="3" t="s">
        <v>137</v>
      </c>
      <c r="F251" s="4"/>
      <c r="G251" s="5"/>
      <c r="H251" s="5" t="n">
        <v>3000</v>
      </c>
      <c r="I251" s="3" t="n">
        <v>1</v>
      </c>
      <c r="K251" s="6" t="n">
        <f aca="false">I251-J251</f>
        <v>1</v>
      </c>
      <c r="L251" s="5" t="n">
        <f aca="false">K251*H251</f>
        <v>3000</v>
      </c>
      <c r="M251" s="5" t="n">
        <f aca="false">IF(A251="","",H251*J251)</f>
        <v>0</v>
      </c>
      <c r="N251" s="5" t="n">
        <f aca="false">IF(A251="","",G251*J251)</f>
        <v>0</v>
      </c>
      <c r="O251" s="5" t="n">
        <f aca="false">IF(A251="","",M251-N251)</f>
        <v>0</v>
      </c>
      <c r="Q251" s="7" t="s">
        <v>460</v>
      </c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7" t="n">
        <f aca="false">SUMPRODUCT(--(R251:AA251&gt;0),'Настройки цен'!$B$12:$K$12)</f>
        <v>0</v>
      </c>
      <c r="AC251" s="9" t="str">
        <f aca="false">IF(AB251=0,"",SUMPRODUCT(R251:AA251,'Настройки цен'!$B$11:$K$11,'Настройки цен'!$B$12:$K$12)/AB251)</f>
        <v/>
      </c>
      <c r="AD251" s="10"/>
      <c r="AE251" s="11" t="n">
        <f aca="false">IF(AD251&lt;&gt;"",AD251,IFERROR(IF(INDEX('Настройки цен'!$B$17:$B$24,MATCH(E251,'Настройки цен'!$A$17:$A$24,0))="",'Настройки цен'!$B$5,INDEX('Настройки цен'!$B$17:$B$24,MATCH(E251,'Настройки цен'!$A$17:$A$24,0))),'Настройки цен'!$B$5))</f>
        <v>0</v>
      </c>
      <c r="AF251" s="9" t="str">
        <f aca="false">IF(AC251="","",ROUND(AC251*(1+AE251)/'Настройки цен'!$B$6,0)*'Настройки цен'!$B$6)</f>
        <v/>
      </c>
      <c r="AG251" s="12" t="str">
        <f aca="false">IF(OR(AC251="",H251=""),"",H251/AC251-1)</f>
        <v/>
      </c>
      <c r="AH251" s="7"/>
    </row>
    <row r="252" customFormat="false" ht="15.75" hidden="false" customHeight="true" outlineLevel="0" collapsed="false">
      <c r="A252" s="3" t="n">
        <v>3741170215095</v>
      </c>
      <c r="B252" s="3" t="s">
        <v>462</v>
      </c>
      <c r="D252" s="3" t="s">
        <v>41</v>
      </c>
      <c r="E252" s="3" t="s">
        <v>55</v>
      </c>
      <c r="F252" s="4"/>
      <c r="G252" s="5"/>
      <c r="H252" s="5" t="n">
        <v>3000</v>
      </c>
      <c r="I252" s="3" t="n">
        <v>4</v>
      </c>
      <c r="K252" s="6" t="n">
        <f aca="false">I252-J252</f>
        <v>4</v>
      </c>
      <c r="L252" s="5" t="n">
        <f aca="false">K252*H252</f>
        <v>12000</v>
      </c>
      <c r="M252" s="5" t="n">
        <f aca="false">IF(A252="","",H252*J252)</f>
        <v>0</v>
      </c>
      <c r="N252" s="5" t="n">
        <f aca="false">IF(A252="","",G252*J252)</f>
        <v>0</v>
      </c>
      <c r="O252" s="5" t="n">
        <f aca="false">IF(A252="","",M252-N252)</f>
        <v>0</v>
      </c>
      <c r="Q252" s="7" t="s">
        <v>463</v>
      </c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7" t="n">
        <f aca="false">SUMPRODUCT(--(R252:AA252&gt;0),'Настройки цен'!$B$12:$K$12)</f>
        <v>0</v>
      </c>
      <c r="AC252" s="9" t="str">
        <f aca="false">IF(AB252=0,"",SUMPRODUCT(R252:AA252,'Настройки цен'!$B$11:$K$11,'Настройки цен'!$B$12:$K$12)/AB252)</f>
        <v/>
      </c>
      <c r="AD252" s="10"/>
      <c r="AE252" s="11" t="n">
        <f aca="false">IF(AD252&lt;&gt;"",AD252,IFERROR(IF(INDEX('Настройки цен'!$B$17:$B$24,MATCH(E252,'Настройки цен'!$A$17:$A$24,0))="",'Настройки цен'!$B$5,INDEX('Настройки цен'!$B$17:$B$24,MATCH(E252,'Настройки цен'!$A$17:$A$24,0))),'Настройки цен'!$B$5))</f>
        <v>0</v>
      </c>
      <c r="AF252" s="9" t="str">
        <f aca="false">IF(AC252="","",ROUND(AC252*(1+AE252)/'Настройки цен'!$B$6,0)*'Настройки цен'!$B$6)</f>
        <v/>
      </c>
      <c r="AG252" s="12" t="str">
        <f aca="false">IF(OR(AC252="",H252=""),"",H252/AC252-1)</f>
        <v/>
      </c>
      <c r="AH252" s="7"/>
    </row>
    <row r="253" customFormat="false" ht="15.75" hidden="false" customHeight="true" outlineLevel="0" collapsed="false">
      <c r="A253" s="3" t="n">
        <v>4691701070</v>
      </c>
      <c r="B253" s="3" t="s">
        <v>464</v>
      </c>
      <c r="D253" s="3" t="s">
        <v>41</v>
      </c>
      <c r="E253" s="3" t="s">
        <v>55</v>
      </c>
      <c r="F253" s="4"/>
      <c r="G253" s="5"/>
      <c r="H253" s="5" t="n">
        <v>1000</v>
      </c>
      <c r="I253" s="3" t="n">
        <v>4</v>
      </c>
      <c r="K253" s="6" t="n">
        <f aca="false">I253-J253</f>
        <v>4</v>
      </c>
      <c r="L253" s="5" t="n">
        <f aca="false">K253*H253</f>
        <v>4000</v>
      </c>
      <c r="M253" s="5" t="n">
        <f aca="false">IF(A253="","",H253*J253)</f>
        <v>0</v>
      </c>
      <c r="N253" s="5" t="n">
        <f aca="false">IF(A253="","",G253*J253)</f>
        <v>0</v>
      </c>
      <c r="O253" s="5" t="n">
        <f aca="false">IF(A253="","",M253-N253)</f>
        <v>0</v>
      </c>
      <c r="Q253" s="7" t="s">
        <v>465</v>
      </c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7" t="n">
        <f aca="false">SUMPRODUCT(--(R253:AA253&gt;0),'Настройки цен'!$B$12:$K$12)</f>
        <v>0</v>
      </c>
      <c r="AC253" s="9" t="str">
        <f aca="false">IF(AB253=0,"",SUMPRODUCT(R253:AA253,'Настройки цен'!$B$11:$K$11,'Настройки цен'!$B$12:$K$12)/AB253)</f>
        <v/>
      </c>
      <c r="AD253" s="10"/>
      <c r="AE253" s="11" t="n">
        <f aca="false">IF(AD253&lt;&gt;"",AD253,IFERROR(IF(INDEX('Настройки цен'!$B$17:$B$24,MATCH(E253,'Настройки цен'!$A$17:$A$24,0))="",'Настройки цен'!$B$5,INDEX('Настройки цен'!$B$17:$B$24,MATCH(E253,'Настройки цен'!$A$17:$A$24,0))),'Настройки цен'!$B$5))</f>
        <v>0</v>
      </c>
      <c r="AF253" s="9" t="str">
        <f aca="false">IF(AC253="","",ROUND(AC253*(1+AE253)/'Настройки цен'!$B$6,0)*'Настройки цен'!$B$6)</f>
        <v/>
      </c>
      <c r="AG253" s="12" t="str">
        <f aca="false">IF(OR(AC253="",H253=""),"",H253/AC253-1)</f>
        <v/>
      </c>
      <c r="AH253" s="7"/>
    </row>
    <row r="254" customFormat="false" ht="15.75" hidden="false" customHeight="true" outlineLevel="0" collapsed="false">
      <c r="B254" s="3" t="s">
        <v>466</v>
      </c>
      <c r="D254" s="3" t="s">
        <v>41</v>
      </c>
      <c r="E254" s="3" t="s">
        <v>135</v>
      </c>
      <c r="F254" s="4"/>
      <c r="G254" s="5"/>
      <c r="H254" s="5" t="n">
        <v>50000</v>
      </c>
      <c r="I254" s="3" t="n">
        <v>1</v>
      </c>
      <c r="K254" s="6" t="n">
        <f aca="false">I254-J254</f>
        <v>1</v>
      </c>
      <c r="L254" s="5" t="n">
        <f aca="false">K254*H254</f>
        <v>50000</v>
      </c>
      <c r="M254" s="5" t="str">
        <f aca="false">IF(A254="","",H254*J254)</f>
        <v/>
      </c>
      <c r="N254" s="5" t="str">
        <f aca="false">IF(A254="","",G254*J254)</f>
        <v/>
      </c>
      <c r="O254" s="5" t="str">
        <f aca="false">IF(A254="","",M254-N254)</f>
        <v/>
      </c>
      <c r="Q254" s="7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7" t="n">
        <f aca="false">SUMPRODUCT(--(R254:AA254&gt;0),'Настройки цен'!$B$12:$K$12)</f>
        <v>0</v>
      </c>
      <c r="AC254" s="9" t="str">
        <f aca="false">IF(AB254=0,"",SUMPRODUCT(R254:AA254,'Настройки цен'!$B$11:$K$11,'Настройки цен'!$B$12:$K$12)/AB254)</f>
        <v/>
      </c>
      <c r="AD254" s="10"/>
      <c r="AE254" s="11" t="n">
        <f aca="false">IF(AD254&lt;&gt;"",AD254,IFERROR(IF(INDEX('Настройки цен'!$B$17:$B$24,MATCH(E254,'Настройки цен'!$A$17:$A$24,0))="",'Настройки цен'!$B$5,INDEX('Настройки цен'!$B$17:$B$24,MATCH(E254,'Настройки цен'!$A$17:$A$24,0))),'Настройки цен'!$B$5))</f>
        <v>0</v>
      </c>
      <c r="AF254" s="9" t="str">
        <f aca="false">IF(AC254="","",ROUND(AC254*(1+AE254)/'Настройки цен'!$B$6,0)*'Настройки цен'!$B$6)</f>
        <v/>
      </c>
      <c r="AG254" s="12" t="str">
        <f aca="false">IF(OR(AC254="",H254=""),"",H254/AC254-1)</f>
        <v/>
      </c>
      <c r="AH254" s="7"/>
    </row>
    <row r="255" customFormat="false" ht="15.75" hidden="false" customHeight="true" outlineLevel="0" collapsed="false">
      <c r="A255" s="3" t="s">
        <v>467</v>
      </c>
      <c r="B255" s="3" t="s">
        <v>468</v>
      </c>
      <c r="D255" s="3" t="s">
        <v>41</v>
      </c>
      <c r="E255" s="3" t="s">
        <v>111</v>
      </c>
      <c r="F255" s="4"/>
      <c r="G255" s="5"/>
      <c r="H255" s="5" t="n">
        <v>300</v>
      </c>
      <c r="I255" s="3" t="n">
        <v>25</v>
      </c>
      <c r="K255" s="6" t="n">
        <f aca="false">I255-J255</f>
        <v>25</v>
      </c>
      <c r="L255" s="5" t="n">
        <f aca="false">K255*H255</f>
        <v>7500</v>
      </c>
      <c r="M255" s="5" t="n">
        <f aca="false">IF(A255="","",H255*J255)</f>
        <v>0</v>
      </c>
      <c r="N255" s="5" t="n">
        <f aca="false">IF(A255="","",G255*J255)</f>
        <v>0</v>
      </c>
      <c r="O255" s="5" t="n">
        <f aca="false">IF(A255="","",M255-N255)</f>
        <v>0</v>
      </c>
      <c r="Q255" s="7" t="s">
        <v>467</v>
      </c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7" t="n">
        <f aca="false">SUMPRODUCT(--(R255:AA255&gt;0),'Настройки цен'!$B$12:$K$12)</f>
        <v>0</v>
      </c>
      <c r="AC255" s="9" t="str">
        <f aca="false">IF(AB255=0,"",SUMPRODUCT(R255:AA255,'Настройки цен'!$B$11:$K$11,'Настройки цен'!$B$12:$K$12)/AB255)</f>
        <v/>
      </c>
      <c r="AD255" s="10"/>
      <c r="AE255" s="11" t="n">
        <f aca="false">IF(AD255&lt;&gt;"",AD255,IFERROR(IF(INDEX('Настройки цен'!$B$17:$B$24,MATCH(E255,'Настройки цен'!$A$17:$A$24,0))="",'Настройки цен'!$B$5,INDEX('Настройки цен'!$B$17:$B$24,MATCH(E255,'Настройки цен'!$A$17:$A$24,0))),'Настройки цен'!$B$5))</f>
        <v>0</v>
      </c>
      <c r="AF255" s="9" t="str">
        <f aca="false">IF(AC255="","",ROUND(AC255*(1+AE255)/'Настройки цен'!$B$6,0)*'Настройки цен'!$B$6)</f>
        <v/>
      </c>
      <c r="AG255" s="12" t="str">
        <f aca="false">IF(OR(AC255="",H255=""),"",H255/AC255-1)</f>
        <v/>
      </c>
      <c r="AH255" s="7"/>
    </row>
    <row r="256" customFormat="false" ht="15.75" hidden="false" customHeight="true" outlineLevel="0" collapsed="false">
      <c r="B256" s="3" t="s">
        <v>469</v>
      </c>
      <c r="D256" s="3" t="s">
        <v>273</v>
      </c>
      <c r="E256" s="3" t="s">
        <v>111</v>
      </c>
      <c r="F256" s="4"/>
      <c r="G256" s="5"/>
      <c r="H256" s="5" t="n">
        <v>300</v>
      </c>
      <c r="I256" s="3" t="n">
        <v>25</v>
      </c>
      <c r="K256" s="6" t="n">
        <f aca="false">I256-J256</f>
        <v>25</v>
      </c>
      <c r="L256" s="5" t="n">
        <f aca="false">K256*H256</f>
        <v>7500</v>
      </c>
      <c r="M256" s="5" t="str">
        <f aca="false">IF(A256="","",H256*J256)</f>
        <v/>
      </c>
      <c r="N256" s="5" t="str">
        <f aca="false">IF(A256="","",G256*J256)</f>
        <v/>
      </c>
      <c r="O256" s="5" t="str">
        <f aca="false">IF(A256="","",M256-N256)</f>
        <v/>
      </c>
      <c r="Q256" s="7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7" t="n">
        <f aca="false">SUMPRODUCT(--(R256:AA256&gt;0),'Настройки цен'!$B$12:$K$12)</f>
        <v>0</v>
      </c>
      <c r="AC256" s="9" t="str">
        <f aca="false">IF(AB256=0,"",SUMPRODUCT(R256:AA256,'Настройки цен'!$B$11:$K$11,'Настройки цен'!$B$12:$K$12)/AB256)</f>
        <v/>
      </c>
      <c r="AD256" s="10"/>
      <c r="AE256" s="11" t="n">
        <f aca="false">IF(AD256&lt;&gt;"",AD256,IFERROR(IF(INDEX('Настройки цен'!$B$17:$B$24,MATCH(E256,'Настройки цен'!$A$17:$A$24,0))="",'Настройки цен'!$B$5,INDEX('Настройки цен'!$B$17:$B$24,MATCH(E256,'Настройки цен'!$A$17:$A$24,0))),'Настройки цен'!$B$5))</f>
        <v>0</v>
      </c>
      <c r="AF256" s="9" t="str">
        <f aca="false">IF(AC256="","",ROUND(AC256*(1+AE256)/'Настройки цен'!$B$6,0)*'Настройки цен'!$B$6)</f>
        <v/>
      </c>
      <c r="AG256" s="12" t="str">
        <f aca="false">IF(OR(AC256="",H256=""),"",H256/AC256-1)</f>
        <v/>
      </c>
      <c r="AH256" s="7"/>
    </row>
    <row r="257" customFormat="false" ht="15.75" hidden="false" customHeight="true" outlineLevel="0" collapsed="false">
      <c r="B257" s="3" t="s">
        <v>470</v>
      </c>
      <c r="D257" s="3" t="s">
        <v>273</v>
      </c>
      <c r="E257" s="3" t="s">
        <v>111</v>
      </c>
      <c r="F257" s="4"/>
      <c r="G257" s="5"/>
      <c r="H257" s="5" t="n">
        <v>300</v>
      </c>
      <c r="I257" s="3" t="n">
        <v>18</v>
      </c>
      <c r="K257" s="6" t="n">
        <f aca="false">I257-J257</f>
        <v>18</v>
      </c>
      <c r="L257" s="5" t="n">
        <f aca="false">K257*H257</f>
        <v>5400</v>
      </c>
      <c r="M257" s="5" t="str">
        <f aca="false">IF(A257="","",H257*J257)</f>
        <v/>
      </c>
      <c r="N257" s="5" t="str">
        <f aca="false">IF(A257="","",G257*J257)</f>
        <v/>
      </c>
      <c r="O257" s="5" t="str">
        <f aca="false">IF(A257="","",M257-N257)</f>
        <v/>
      </c>
      <c r="Q257" s="7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7" t="n">
        <f aca="false">SUMPRODUCT(--(R257:AA257&gt;0),'Настройки цен'!$B$12:$K$12)</f>
        <v>0</v>
      </c>
      <c r="AC257" s="9" t="str">
        <f aca="false">IF(AB257=0,"",SUMPRODUCT(R257:AA257,'Настройки цен'!$B$11:$K$11,'Настройки цен'!$B$12:$K$12)/AB257)</f>
        <v/>
      </c>
      <c r="AD257" s="10"/>
      <c r="AE257" s="11" t="n">
        <f aca="false">IF(AD257&lt;&gt;"",AD257,IFERROR(IF(INDEX('Настройки цен'!$B$17:$B$24,MATCH(E257,'Настройки цен'!$A$17:$A$24,0))="",'Настройки цен'!$B$5,INDEX('Настройки цен'!$B$17:$B$24,MATCH(E257,'Настройки цен'!$A$17:$A$24,0))),'Настройки цен'!$B$5))</f>
        <v>0</v>
      </c>
      <c r="AF257" s="9" t="str">
        <f aca="false">IF(AC257="","",ROUND(AC257*(1+AE257)/'Настройки цен'!$B$6,0)*'Настройки цен'!$B$6)</f>
        <v/>
      </c>
      <c r="AG257" s="12" t="str">
        <f aca="false">IF(OR(AC257="",H257=""),"",H257/AC257-1)</f>
        <v/>
      </c>
      <c r="AH257" s="7"/>
    </row>
    <row r="258" customFormat="false" ht="15.75" hidden="false" customHeight="true" outlineLevel="0" collapsed="false">
      <c r="B258" s="3" t="s">
        <v>471</v>
      </c>
      <c r="D258" s="3" t="s">
        <v>222</v>
      </c>
      <c r="E258" s="3" t="s">
        <v>111</v>
      </c>
      <c r="F258" s="4"/>
      <c r="G258" s="5"/>
      <c r="H258" s="5" t="n">
        <v>5000</v>
      </c>
      <c r="I258" s="3" t="n">
        <v>1</v>
      </c>
      <c r="K258" s="6" t="n">
        <f aca="false">I258-J258</f>
        <v>1</v>
      </c>
      <c r="L258" s="5" t="n">
        <f aca="false">K258*H258</f>
        <v>5000</v>
      </c>
      <c r="M258" s="5" t="str">
        <f aca="false">IF(A258="","",H258*J258)</f>
        <v/>
      </c>
      <c r="N258" s="5" t="str">
        <f aca="false">IF(A258="","",G258*J258)</f>
        <v/>
      </c>
      <c r="O258" s="5" t="str">
        <f aca="false">IF(A258="","",M258-N258)</f>
        <v/>
      </c>
      <c r="Q258" s="7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7" t="n">
        <f aca="false">SUMPRODUCT(--(R258:AA258&gt;0),'Настройки цен'!$B$12:$K$12)</f>
        <v>0</v>
      </c>
      <c r="AC258" s="9" t="str">
        <f aca="false">IF(AB258=0,"",SUMPRODUCT(R258:AA258,'Настройки цен'!$B$11:$K$11,'Настройки цен'!$B$12:$K$12)/AB258)</f>
        <v/>
      </c>
      <c r="AD258" s="10"/>
      <c r="AE258" s="11" t="n">
        <f aca="false">IF(AD258&lt;&gt;"",AD258,IFERROR(IF(INDEX('Настройки цен'!$B$17:$B$24,MATCH(E258,'Настройки цен'!$A$17:$A$24,0))="",'Настройки цен'!$B$5,INDEX('Настройки цен'!$B$17:$B$24,MATCH(E258,'Настройки цен'!$A$17:$A$24,0))),'Настройки цен'!$B$5))</f>
        <v>0</v>
      </c>
      <c r="AF258" s="9" t="str">
        <f aca="false">IF(AC258="","",ROUND(AC258*(1+AE258)/'Настройки цен'!$B$6,0)*'Настройки цен'!$B$6)</f>
        <v/>
      </c>
      <c r="AG258" s="12" t="str">
        <f aca="false">IF(OR(AC258="",H258=""),"",H258/AC258-1)</f>
        <v/>
      </c>
      <c r="AH258" s="7"/>
    </row>
    <row r="259" customFormat="false" ht="15.75" hidden="false" customHeight="true" outlineLevel="0" collapsed="false">
      <c r="A259" s="3" t="n">
        <v>45100170310331</v>
      </c>
      <c r="B259" s="3" t="s">
        <v>472</v>
      </c>
      <c r="D259" s="3" t="s">
        <v>41</v>
      </c>
      <c r="E259" s="3" t="s">
        <v>55</v>
      </c>
      <c r="F259" s="4"/>
      <c r="G259" s="5"/>
      <c r="H259" s="5" t="n">
        <v>8000</v>
      </c>
      <c r="I259" s="3" t="n">
        <v>1</v>
      </c>
      <c r="K259" s="6" t="n">
        <f aca="false">I259-J259</f>
        <v>1</v>
      </c>
      <c r="L259" s="5" t="n">
        <f aca="false">K259*H259</f>
        <v>8000</v>
      </c>
      <c r="M259" s="5" t="n">
        <f aca="false">IF(A259="","",H259*J259)</f>
        <v>0</v>
      </c>
      <c r="N259" s="5" t="n">
        <f aca="false">IF(A259="","",G259*J259)</f>
        <v>0</v>
      </c>
      <c r="O259" s="5" t="n">
        <f aca="false">IF(A259="","",M259-N259)</f>
        <v>0</v>
      </c>
      <c r="Q259" s="7" t="s">
        <v>473</v>
      </c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7" t="n">
        <f aca="false">SUMPRODUCT(--(R259:AA259&gt;0),'Настройки цен'!$B$12:$K$12)</f>
        <v>0</v>
      </c>
      <c r="AC259" s="9" t="str">
        <f aca="false">IF(AB259=0,"",SUMPRODUCT(R259:AA259,'Настройки цен'!$B$11:$K$11,'Настройки цен'!$B$12:$K$12)/AB259)</f>
        <v/>
      </c>
      <c r="AD259" s="10"/>
      <c r="AE259" s="11" t="n">
        <f aca="false">IF(AD259&lt;&gt;"",AD259,IFERROR(IF(INDEX('Настройки цен'!$B$17:$B$24,MATCH(E259,'Настройки цен'!$A$17:$A$24,0))="",'Настройки цен'!$B$5,INDEX('Настройки цен'!$B$17:$B$24,MATCH(E259,'Настройки цен'!$A$17:$A$24,0))),'Настройки цен'!$B$5))</f>
        <v>0</v>
      </c>
      <c r="AF259" s="9" t="str">
        <f aca="false">IF(AC259="","",ROUND(AC259*(1+AE259)/'Настройки цен'!$B$6,0)*'Настройки цен'!$B$6)</f>
        <v/>
      </c>
      <c r="AG259" s="12" t="str">
        <f aca="false">IF(OR(AC259="",H259=""),"",H259/AC259-1)</f>
        <v/>
      </c>
      <c r="AH259" s="7"/>
    </row>
    <row r="260" customFormat="false" ht="15.75" hidden="false" customHeight="true" outlineLevel="0" collapsed="false">
      <c r="A260" s="3" t="n">
        <v>45100170302830</v>
      </c>
      <c r="B260" s="3" t="s">
        <v>474</v>
      </c>
      <c r="D260" s="3" t="s">
        <v>41</v>
      </c>
      <c r="E260" s="3" t="s">
        <v>55</v>
      </c>
      <c r="F260" s="4"/>
      <c r="G260" s="5"/>
      <c r="H260" s="5" t="n">
        <v>8000</v>
      </c>
      <c r="I260" s="3" t="n">
        <v>1</v>
      </c>
      <c r="K260" s="6" t="n">
        <f aca="false">I260-J260</f>
        <v>1</v>
      </c>
      <c r="L260" s="5" t="n">
        <f aca="false">K260*H260</f>
        <v>8000</v>
      </c>
      <c r="M260" s="5" t="n">
        <f aca="false">IF(A260="","",H260*J260)</f>
        <v>0</v>
      </c>
      <c r="N260" s="5" t="n">
        <f aca="false">IF(A260="","",G260*J260)</f>
        <v>0</v>
      </c>
      <c r="O260" s="5" t="n">
        <f aca="false">IF(A260="","",M260-N260)</f>
        <v>0</v>
      </c>
      <c r="Q260" s="7" t="s">
        <v>475</v>
      </c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7" t="n">
        <f aca="false">SUMPRODUCT(--(R260:AA260&gt;0),'Настройки цен'!$B$12:$K$12)</f>
        <v>0</v>
      </c>
      <c r="AC260" s="9" t="str">
        <f aca="false">IF(AB260=0,"",SUMPRODUCT(R260:AA260,'Настройки цен'!$B$11:$K$11,'Настройки цен'!$B$12:$K$12)/AB260)</f>
        <v/>
      </c>
      <c r="AD260" s="10"/>
      <c r="AE260" s="11" t="n">
        <f aca="false">IF(AD260&lt;&gt;"",AD260,IFERROR(IF(INDEX('Настройки цен'!$B$17:$B$24,MATCH(E260,'Настройки цен'!$A$17:$A$24,0))="",'Настройки цен'!$B$5,INDEX('Настройки цен'!$B$17:$B$24,MATCH(E260,'Настройки цен'!$A$17:$A$24,0))),'Настройки цен'!$B$5))</f>
        <v>0</v>
      </c>
      <c r="AF260" s="9" t="str">
        <f aca="false">IF(AC260="","",ROUND(AC260*(1+AE260)/'Настройки цен'!$B$6,0)*'Настройки цен'!$B$6)</f>
        <v/>
      </c>
      <c r="AG260" s="12" t="str">
        <f aca="false">IF(OR(AC260="",H260=""),"",H260/AC260-1)</f>
        <v/>
      </c>
      <c r="AH260" s="7"/>
    </row>
    <row r="261" customFormat="false" ht="15.75" hidden="false" customHeight="true" outlineLevel="0" collapsed="false">
      <c r="B261" s="3" t="s">
        <v>476</v>
      </c>
      <c r="D261" s="3" t="s">
        <v>66</v>
      </c>
      <c r="E261" s="3" t="s">
        <v>70</v>
      </c>
      <c r="F261" s="4"/>
      <c r="G261" s="5"/>
      <c r="H261" s="5" t="n">
        <v>1000</v>
      </c>
      <c r="I261" s="3" t="n">
        <v>6</v>
      </c>
      <c r="K261" s="6" t="n">
        <f aca="false">I261-J261</f>
        <v>6</v>
      </c>
      <c r="L261" s="5" t="n">
        <f aca="false">K261*H261</f>
        <v>6000</v>
      </c>
      <c r="M261" s="5" t="str">
        <f aca="false">IF(A261="","",H261*J261)</f>
        <v/>
      </c>
      <c r="N261" s="5" t="str">
        <f aca="false">IF(A261="","",G261*J261)</f>
        <v/>
      </c>
      <c r="O261" s="5" t="str">
        <f aca="false">IF(A261="","",M261-N261)</f>
        <v/>
      </c>
      <c r="Q261" s="7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7" t="n">
        <f aca="false">SUMPRODUCT(--(R261:AA261&gt;0),'Настройки цен'!$B$12:$K$12)</f>
        <v>0</v>
      </c>
      <c r="AC261" s="9" t="str">
        <f aca="false">IF(AB261=0,"",SUMPRODUCT(R261:AA261,'Настройки цен'!$B$11:$K$11,'Настройки цен'!$B$12:$K$12)/AB261)</f>
        <v/>
      </c>
      <c r="AD261" s="10"/>
      <c r="AE261" s="11" t="n">
        <f aca="false">IF(AD261&lt;&gt;"",AD261,IFERROR(IF(INDEX('Настройки цен'!$B$17:$B$24,MATCH(E261,'Настройки цен'!$A$17:$A$24,0))="",'Настройки цен'!$B$5,INDEX('Настройки цен'!$B$17:$B$24,MATCH(E261,'Настройки цен'!$A$17:$A$24,0))),'Настройки цен'!$B$5))</f>
        <v>0</v>
      </c>
      <c r="AF261" s="9" t="str">
        <f aca="false">IF(AC261="","",ROUND(AC261*(1+AE261)/'Настройки цен'!$B$6,0)*'Настройки цен'!$B$6)</f>
        <v/>
      </c>
      <c r="AG261" s="12" t="str">
        <f aca="false">IF(OR(AC261="",H261=""),"",H261/AC261-1)</f>
        <v/>
      </c>
      <c r="AH261" s="7"/>
    </row>
    <row r="262" customFormat="false" ht="15.75" hidden="false" customHeight="true" outlineLevel="0" collapsed="false">
      <c r="B262" s="3" t="s">
        <v>477</v>
      </c>
      <c r="D262" s="3" t="s">
        <v>242</v>
      </c>
      <c r="E262" s="3" t="s">
        <v>137</v>
      </c>
      <c r="F262" s="4"/>
      <c r="G262" s="5"/>
      <c r="H262" s="5" t="n">
        <v>3000</v>
      </c>
      <c r="I262" s="3" t="n">
        <v>3</v>
      </c>
      <c r="K262" s="6" t="n">
        <f aca="false">I262-J262</f>
        <v>3</v>
      </c>
      <c r="L262" s="5" t="n">
        <f aca="false">K262*H262</f>
        <v>9000</v>
      </c>
      <c r="M262" s="5" t="str">
        <f aca="false">IF(A262="","",H262*J262)</f>
        <v/>
      </c>
      <c r="N262" s="5" t="str">
        <f aca="false">IF(A262="","",G262*J262)</f>
        <v/>
      </c>
      <c r="O262" s="5" t="str">
        <f aca="false">IF(A262="","",M262-N262)</f>
        <v/>
      </c>
      <c r="Q262" s="7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7" t="n">
        <f aca="false">SUMPRODUCT(--(R262:AA262&gt;0),'Настройки цен'!$B$12:$K$12)</f>
        <v>0</v>
      </c>
      <c r="AC262" s="9" t="str">
        <f aca="false">IF(AB262=0,"",SUMPRODUCT(R262:AA262,'Настройки цен'!$B$11:$K$11,'Настройки цен'!$B$12:$K$12)/AB262)</f>
        <v/>
      </c>
      <c r="AD262" s="10"/>
      <c r="AE262" s="11" t="n">
        <f aca="false">IF(AD262&lt;&gt;"",AD262,IFERROR(IF(INDEX('Настройки цен'!$B$17:$B$24,MATCH(E262,'Настройки цен'!$A$17:$A$24,0))="",'Настройки цен'!$B$5,INDEX('Настройки цен'!$B$17:$B$24,MATCH(E262,'Настройки цен'!$A$17:$A$24,0))),'Настройки цен'!$B$5))</f>
        <v>0</v>
      </c>
      <c r="AF262" s="9" t="str">
        <f aca="false">IF(AC262="","",ROUND(AC262*(1+AE262)/'Настройки цен'!$B$6,0)*'Настройки цен'!$B$6)</f>
        <v/>
      </c>
      <c r="AG262" s="12" t="str">
        <f aca="false">IF(OR(AC262="",H262=""),"",H262/AC262-1)</f>
        <v/>
      </c>
      <c r="AH262" s="7"/>
    </row>
    <row r="263" customFormat="false" ht="15.75" hidden="false" customHeight="true" outlineLevel="0" collapsed="false">
      <c r="B263" s="3" t="s">
        <v>478</v>
      </c>
      <c r="D263" s="3" t="s">
        <v>273</v>
      </c>
      <c r="E263" s="3" t="s">
        <v>137</v>
      </c>
      <c r="F263" s="4"/>
      <c r="G263" s="5"/>
      <c r="H263" s="5" t="n">
        <v>3000</v>
      </c>
      <c r="I263" s="3" t="n">
        <v>1</v>
      </c>
      <c r="K263" s="6" t="n">
        <f aca="false">I263-J263</f>
        <v>1</v>
      </c>
      <c r="L263" s="5" t="n">
        <f aca="false">K263*H263</f>
        <v>3000</v>
      </c>
      <c r="M263" s="5" t="str">
        <f aca="false">IF(A263="","",H263*J263)</f>
        <v/>
      </c>
      <c r="N263" s="5" t="str">
        <f aca="false">IF(A263="","",G263*J263)</f>
        <v/>
      </c>
      <c r="O263" s="5" t="str">
        <f aca="false">IF(A263="","",M263-N263)</f>
        <v/>
      </c>
      <c r="Q263" s="7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7" t="n">
        <f aca="false">SUMPRODUCT(--(R263:AA263&gt;0),'Настройки цен'!$B$12:$K$12)</f>
        <v>0</v>
      </c>
      <c r="AC263" s="9" t="str">
        <f aca="false">IF(AB263=0,"",SUMPRODUCT(R263:AA263,'Настройки цен'!$B$11:$K$11,'Настройки цен'!$B$12:$K$12)/AB263)</f>
        <v/>
      </c>
      <c r="AD263" s="10"/>
      <c r="AE263" s="11" t="n">
        <f aca="false">IF(AD263&lt;&gt;"",AD263,IFERROR(IF(INDEX('Настройки цен'!$B$17:$B$24,MATCH(E263,'Настройки цен'!$A$17:$A$24,0))="",'Настройки цен'!$B$5,INDEX('Настройки цен'!$B$17:$B$24,MATCH(E263,'Настройки цен'!$A$17:$A$24,0))),'Настройки цен'!$B$5))</f>
        <v>0</v>
      </c>
      <c r="AF263" s="9" t="str">
        <f aca="false">IF(AC263="","",ROUND(AC263*(1+AE263)/'Настройки цен'!$B$6,0)*'Настройки цен'!$B$6)</f>
        <v/>
      </c>
      <c r="AG263" s="12" t="str">
        <f aca="false">IF(OR(AC263="",H263=""),"",H263/AC263-1)</f>
        <v/>
      </c>
      <c r="AH263" s="7"/>
    </row>
    <row r="264" customFormat="false" ht="15.75" hidden="false" customHeight="true" outlineLevel="0" collapsed="false">
      <c r="A264" s="3" t="n">
        <v>42151306038</v>
      </c>
      <c r="B264" s="3" t="s">
        <v>479</v>
      </c>
      <c r="D264" s="3" t="s">
        <v>273</v>
      </c>
      <c r="E264" s="3" t="s">
        <v>70</v>
      </c>
      <c r="F264" s="4"/>
      <c r="G264" s="5"/>
      <c r="H264" s="5" t="n">
        <v>3000</v>
      </c>
      <c r="I264" s="3" t="n">
        <v>1</v>
      </c>
      <c r="K264" s="6" t="n">
        <f aca="false">I264-J264</f>
        <v>1</v>
      </c>
      <c r="L264" s="5" t="n">
        <f aca="false">K264*H264</f>
        <v>3000</v>
      </c>
      <c r="M264" s="5" t="n">
        <f aca="false">IF(A264="","",H264*J264)</f>
        <v>0</v>
      </c>
      <c r="N264" s="5" t="n">
        <f aca="false">IF(A264="","",G264*J264)</f>
        <v>0</v>
      </c>
      <c r="O264" s="5" t="n">
        <f aca="false">IF(A264="","",M264-N264)</f>
        <v>0</v>
      </c>
      <c r="Q264" s="7" t="s">
        <v>480</v>
      </c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7" t="n">
        <f aca="false">SUMPRODUCT(--(R264:AA264&gt;0),'Настройки цен'!$B$12:$K$12)</f>
        <v>0</v>
      </c>
      <c r="AC264" s="9" t="str">
        <f aca="false">IF(AB264=0,"",SUMPRODUCT(R264:AA264,'Настройки цен'!$B$11:$K$11,'Настройки цен'!$B$12:$K$12)/AB264)</f>
        <v/>
      </c>
      <c r="AD264" s="10"/>
      <c r="AE264" s="11" t="n">
        <f aca="false">IF(AD264&lt;&gt;"",AD264,IFERROR(IF(INDEX('Настройки цен'!$B$17:$B$24,MATCH(E264,'Настройки цен'!$A$17:$A$24,0))="",'Настройки цен'!$B$5,INDEX('Настройки цен'!$B$17:$B$24,MATCH(E264,'Настройки цен'!$A$17:$A$24,0))),'Настройки цен'!$B$5))</f>
        <v>0</v>
      </c>
      <c r="AF264" s="9" t="str">
        <f aca="false">IF(AC264="","",ROUND(AC264*(1+AE264)/'Настройки цен'!$B$6,0)*'Настройки цен'!$B$6)</f>
        <v/>
      </c>
      <c r="AG264" s="12" t="str">
        <f aca="false">IF(OR(AC264="",H264=""),"",H264/AC264-1)</f>
        <v/>
      </c>
      <c r="AH264" s="7"/>
    </row>
    <row r="265" customFormat="false" ht="15.75" hidden="false" customHeight="true" outlineLevel="0" collapsed="false">
      <c r="A265" s="3" t="n">
        <v>3151350106810</v>
      </c>
      <c r="B265" s="3" t="s">
        <v>481</v>
      </c>
      <c r="D265" s="3" t="s">
        <v>41</v>
      </c>
      <c r="E265" s="3" t="s">
        <v>37</v>
      </c>
      <c r="F265" s="4"/>
      <c r="G265" s="5"/>
      <c r="H265" s="5" t="n">
        <v>1500</v>
      </c>
      <c r="I265" s="3" t="n">
        <v>19</v>
      </c>
      <c r="K265" s="6" t="n">
        <f aca="false">I265-J265</f>
        <v>19</v>
      </c>
      <c r="L265" s="5" t="n">
        <f aca="false">K265*H265</f>
        <v>28500</v>
      </c>
      <c r="M265" s="5" t="n">
        <f aca="false">IF(A265="","",H265*J265)</f>
        <v>0</v>
      </c>
      <c r="N265" s="5" t="n">
        <f aca="false">IF(A265="","",G265*J265)</f>
        <v>0</v>
      </c>
      <c r="O265" s="5" t="n">
        <f aca="false">IF(A265="","",M265-N265)</f>
        <v>0</v>
      </c>
      <c r="Q265" s="7" t="s">
        <v>482</v>
      </c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7" t="n">
        <f aca="false">SUMPRODUCT(--(R265:AA265&gt;0),'Настройки цен'!$B$12:$K$12)</f>
        <v>0</v>
      </c>
      <c r="AC265" s="9" t="str">
        <f aca="false">IF(AB265=0,"",SUMPRODUCT(R265:AA265,'Настройки цен'!$B$11:$K$11,'Настройки цен'!$B$12:$K$12)/AB265)</f>
        <v/>
      </c>
      <c r="AD265" s="10"/>
      <c r="AE265" s="11" t="n">
        <f aca="false">IF(AD265&lt;&gt;"",AD265,IFERROR(IF(INDEX('Настройки цен'!$B$17:$B$24,MATCH(E265,'Настройки цен'!$A$17:$A$24,0))="",'Настройки цен'!$B$5,INDEX('Настройки цен'!$B$17:$B$24,MATCH(E265,'Настройки цен'!$A$17:$A$24,0))),'Настройки цен'!$B$5))</f>
        <v>0</v>
      </c>
      <c r="AF265" s="9" t="str">
        <f aca="false">IF(AC265="","",ROUND(AC265*(1+AE265)/'Настройки цен'!$B$6,0)*'Настройки цен'!$B$6)</f>
        <v/>
      </c>
      <c r="AG265" s="12" t="str">
        <f aca="false">IF(OR(AC265="",H265=""),"",H265/AC265-1)</f>
        <v/>
      </c>
      <c r="AH265" s="7"/>
    </row>
    <row r="266" customFormat="false" ht="15.75" hidden="false" customHeight="true" outlineLevel="0" collapsed="false">
      <c r="A266" s="3" t="n">
        <v>451501702160</v>
      </c>
      <c r="B266" s="3" t="s">
        <v>483</v>
      </c>
      <c r="D266" s="3" t="s">
        <v>41</v>
      </c>
      <c r="E266" s="3" t="s">
        <v>55</v>
      </c>
      <c r="F266" s="4"/>
      <c r="G266" s="5"/>
      <c r="H266" s="5" t="n">
        <v>4000</v>
      </c>
      <c r="I266" s="3" t="n">
        <v>5</v>
      </c>
      <c r="K266" s="6" t="n">
        <f aca="false">I266-J266</f>
        <v>5</v>
      </c>
      <c r="L266" s="5" t="n">
        <f aca="false">K266*H266</f>
        <v>20000</v>
      </c>
      <c r="M266" s="5" t="n">
        <f aca="false">IF(A266="","",H266*J266)</f>
        <v>0</v>
      </c>
      <c r="N266" s="5" t="n">
        <f aca="false">IF(A266="","",G266*J266)</f>
        <v>0</v>
      </c>
      <c r="O266" s="5" t="n">
        <f aca="false">IF(A266="","",M266-N266)</f>
        <v>0</v>
      </c>
      <c r="Q266" s="7" t="s">
        <v>484</v>
      </c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7" t="n">
        <f aca="false">SUMPRODUCT(--(R266:AA266&gt;0),'Настройки цен'!$B$12:$K$12)</f>
        <v>0</v>
      </c>
      <c r="AC266" s="9" t="str">
        <f aca="false">IF(AB266=0,"",SUMPRODUCT(R266:AA266,'Настройки цен'!$B$11:$K$11,'Настройки цен'!$B$12:$K$12)/AB266)</f>
        <v/>
      </c>
      <c r="AD266" s="10"/>
      <c r="AE266" s="11" t="n">
        <f aca="false">IF(AD266&lt;&gt;"",AD266,IFERROR(IF(INDEX('Настройки цен'!$B$17:$B$24,MATCH(E266,'Настройки цен'!$A$17:$A$24,0))="",'Настройки цен'!$B$5,INDEX('Настройки цен'!$B$17:$B$24,MATCH(E266,'Настройки цен'!$A$17:$A$24,0))),'Настройки цен'!$B$5))</f>
        <v>0</v>
      </c>
      <c r="AF266" s="9" t="str">
        <f aca="false">IF(AC266="","",ROUND(AC266*(1+AE266)/'Настройки цен'!$B$6,0)*'Настройки цен'!$B$6)</f>
        <v/>
      </c>
      <c r="AG266" s="12" t="str">
        <f aca="false">IF(OR(AC266="",H266=""),"",H266/AC266-1)</f>
        <v/>
      </c>
      <c r="AH266" s="7"/>
    </row>
    <row r="267" customFormat="false" ht="15.75" hidden="false" customHeight="true" outlineLevel="0" collapsed="false">
      <c r="B267" s="3" t="s">
        <v>485</v>
      </c>
      <c r="D267" s="3" t="s">
        <v>41</v>
      </c>
      <c r="E267" s="3" t="s">
        <v>428</v>
      </c>
      <c r="F267" s="4"/>
      <c r="G267" s="5"/>
      <c r="H267" s="5" t="n">
        <v>2000</v>
      </c>
      <c r="I267" s="3" t="n">
        <v>9</v>
      </c>
      <c r="K267" s="6" t="n">
        <f aca="false">I267-J267</f>
        <v>9</v>
      </c>
      <c r="L267" s="5" t="n">
        <f aca="false">K267*H267</f>
        <v>18000</v>
      </c>
      <c r="M267" s="5" t="str">
        <f aca="false">IF(A267="","",H267*J267)</f>
        <v/>
      </c>
      <c r="N267" s="5" t="str">
        <f aca="false">IF(A267="","",G267*J267)</f>
        <v/>
      </c>
      <c r="O267" s="5" t="str">
        <f aca="false">IF(A267="","",M267-N267)</f>
        <v/>
      </c>
      <c r="Q267" s="7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7" t="n">
        <f aca="false">SUMPRODUCT(--(R267:AA267&gt;0),'Настройки цен'!$B$12:$K$12)</f>
        <v>0</v>
      </c>
      <c r="AC267" s="9" t="str">
        <f aca="false">IF(AB267=0,"",SUMPRODUCT(R267:AA267,'Настройки цен'!$B$11:$K$11,'Настройки цен'!$B$12:$K$12)/AB267)</f>
        <v/>
      </c>
      <c r="AD267" s="10"/>
      <c r="AE267" s="11" t="n">
        <f aca="false">IF(AD267&lt;&gt;"",AD267,IFERROR(IF(INDEX('Настройки цен'!$B$17:$B$24,MATCH(E267,'Настройки цен'!$A$17:$A$24,0))="",'Настройки цен'!$B$5,INDEX('Настройки цен'!$B$17:$B$24,MATCH(E267,'Настройки цен'!$A$17:$A$24,0))),'Настройки цен'!$B$5))</f>
        <v>0</v>
      </c>
      <c r="AF267" s="9" t="str">
        <f aca="false">IF(AC267="","",ROUND(AC267*(1+AE267)/'Настройки цен'!$B$6,0)*'Настройки цен'!$B$6)</f>
        <v/>
      </c>
      <c r="AG267" s="12" t="str">
        <f aca="false">IF(OR(AC267="",H267=""),"",H267/AC267-1)</f>
        <v/>
      </c>
      <c r="AH267" s="7"/>
    </row>
    <row r="268" customFormat="false" ht="15.75" hidden="false" customHeight="true" outlineLevel="0" collapsed="false">
      <c r="A268" s="3" t="n">
        <v>5713777</v>
      </c>
      <c r="B268" s="3" t="s">
        <v>486</v>
      </c>
      <c r="D268" s="3" t="s">
        <v>41</v>
      </c>
      <c r="E268" s="3" t="s">
        <v>137</v>
      </c>
      <c r="F268" s="4"/>
      <c r="G268" s="5"/>
      <c r="H268" s="5" t="n">
        <v>3000</v>
      </c>
      <c r="I268" s="3" t="n">
        <v>1</v>
      </c>
      <c r="K268" s="6" t="n">
        <f aca="false">I268-J268</f>
        <v>1</v>
      </c>
      <c r="L268" s="5" t="n">
        <f aca="false">K268*H268</f>
        <v>3000</v>
      </c>
      <c r="M268" s="5" t="n">
        <f aca="false">IF(A268="","",H268*J268)</f>
        <v>0</v>
      </c>
      <c r="N268" s="5" t="n">
        <f aca="false">IF(A268="","",G268*J268)</f>
        <v>0</v>
      </c>
      <c r="O268" s="5" t="n">
        <f aca="false">IF(A268="","",M268-N268)</f>
        <v>0</v>
      </c>
      <c r="Q268" s="7" t="s">
        <v>487</v>
      </c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7" t="n">
        <f aca="false">SUMPRODUCT(--(R268:AA268&gt;0),'Настройки цен'!$B$12:$K$12)</f>
        <v>0</v>
      </c>
      <c r="AC268" s="9" t="str">
        <f aca="false">IF(AB268=0,"",SUMPRODUCT(R268:AA268,'Настройки цен'!$B$11:$K$11,'Настройки цен'!$B$12:$K$12)/AB268)</f>
        <v/>
      </c>
      <c r="AD268" s="10"/>
      <c r="AE268" s="11" t="n">
        <f aca="false">IF(AD268&lt;&gt;"",AD268,IFERROR(IF(INDEX('Настройки цен'!$B$17:$B$24,MATCH(E268,'Настройки цен'!$A$17:$A$24,0))="",'Настройки цен'!$B$5,INDEX('Настройки цен'!$B$17:$B$24,MATCH(E268,'Настройки цен'!$A$17:$A$24,0))),'Настройки цен'!$B$5))</f>
        <v>0</v>
      </c>
      <c r="AF268" s="9" t="str">
        <f aca="false">IF(AC268="","",ROUND(AC268*(1+AE268)/'Настройки цен'!$B$6,0)*'Настройки цен'!$B$6)</f>
        <v/>
      </c>
      <c r="AG268" s="12" t="str">
        <f aca="false">IF(OR(AC268="",H268=""),"",H268/AC268-1)</f>
        <v/>
      </c>
      <c r="AH268" s="7"/>
    </row>
    <row r="269" customFormat="false" ht="15.75" hidden="false" customHeight="true" outlineLevel="0" collapsed="false">
      <c r="A269" s="3" t="s">
        <v>488</v>
      </c>
      <c r="B269" s="3" t="s">
        <v>489</v>
      </c>
      <c r="D269" s="3" t="s">
        <v>41</v>
      </c>
      <c r="E269" s="3" t="s">
        <v>55</v>
      </c>
      <c r="F269" s="4"/>
      <c r="G269" s="5"/>
      <c r="H269" s="5" t="n">
        <v>500</v>
      </c>
      <c r="I269" s="3" t="n">
        <v>10</v>
      </c>
      <c r="K269" s="6" t="n">
        <f aca="false">I269-J269</f>
        <v>10</v>
      </c>
      <c r="L269" s="5" t="n">
        <f aca="false">K269*H269</f>
        <v>5000</v>
      </c>
      <c r="M269" s="5" t="n">
        <f aca="false">IF(A269="","",H269*J269)</f>
        <v>0</v>
      </c>
      <c r="N269" s="5" t="n">
        <f aca="false">IF(A269="","",G269*J269)</f>
        <v>0</v>
      </c>
      <c r="O269" s="5" t="n">
        <f aca="false">IF(A269="","",M269-N269)</f>
        <v>0</v>
      </c>
      <c r="Q269" s="7" t="s">
        <v>488</v>
      </c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7" t="n">
        <f aca="false">SUMPRODUCT(--(R269:AA269&gt;0),'Настройки цен'!$B$12:$K$12)</f>
        <v>0</v>
      </c>
      <c r="AC269" s="9" t="str">
        <f aca="false">IF(AB269=0,"",SUMPRODUCT(R269:AA269,'Настройки цен'!$B$11:$K$11,'Настройки цен'!$B$12:$K$12)/AB269)</f>
        <v/>
      </c>
      <c r="AD269" s="10"/>
      <c r="AE269" s="11" t="n">
        <f aca="false">IF(AD269&lt;&gt;"",AD269,IFERROR(IF(INDEX('Настройки цен'!$B$17:$B$24,MATCH(E269,'Настройки цен'!$A$17:$A$24,0))="",'Настройки цен'!$B$5,INDEX('Настройки цен'!$B$17:$B$24,MATCH(E269,'Настройки цен'!$A$17:$A$24,0))),'Настройки цен'!$B$5))</f>
        <v>0</v>
      </c>
      <c r="AF269" s="9" t="str">
        <f aca="false">IF(AC269="","",ROUND(AC269*(1+AE269)/'Настройки цен'!$B$6,0)*'Настройки цен'!$B$6)</f>
        <v/>
      </c>
      <c r="AG269" s="12" t="str">
        <f aca="false">IF(OR(AC269="",H269=""),"",H269/AC269-1)</f>
        <v/>
      </c>
      <c r="AH269" s="7"/>
    </row>
    <row r="270" customFormat="false" ht="15.75" hidden="false" customHeight="true" outlineLevel="0" collapsed="false">
      <c r="A270" s="3" t="s">
        <v>490</v>
      </c>
      <c r="B270" s="3" t="s">
        <v>489</v>
      </c>
      <c r="D270" s="3" t="s">
        <v>491</v>
      </c>
      <c r="E270" s="3" t="s">
        <v>55</v>
      </c>
      <c r="F270" s="4"/>
      <c r="G270" s="5"/>
      <c r="H270" s="5" t="n">
        <v>500</v>
      </c>
      <c r="I270" s="3" t="n">
        <v>7</v>
      </c>
      <c r="K270" s="6" t="n">
        <f aca="false">I270-J270</f>
        <v>7</v>
      </c>
      <c r="L270" s="5" t="n">
        <f aca="false">K270*H270</f>
        <v>3500</v>
      </c>
      <c r="M270" s="5" t="n">
        <f aca="false">IF(A270="","",H270*J270)</f>
        <v>0</v>
      </c>
      <c r="N270" s="5" t="n">
        <f aca="false">IF(A270="","",G270*J270)</f>
        <v>0</v>
      </c>
      <c r="O270" s="5" t="n">
        <f aca="false">IF(A270="","",M270-N270)</f>
        <v>0</v>
      </c>
      <c r="Q270" s="7" t="s">
        <v>490</v>
      </c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7" t="n">
        <f aca="false">SUMPRODUCT(--(R270:AA270&gt;0),'Настройки цен'!$B$12:$K$12)</f>
        <v>0</v>
      </c>
      <c r="AC270" s="9" t="str">
        <f aca="false">IF(AB270=0,"",SUMPRODUCT(R270:AA270,'Настройки цен'!$B$11:$K$11,'Настройки цен'!$B$12:$K$12)/AB270)</f>
        <v/>
      </c>
      <c r="AD270" s="10"/>
      <c r="AE270" s="11" t="n">
        <f aca="false">IF(AD270&lt;&gt;"",AD270,IFERROR(IF(INDEX('Настройки цен'!$B$17:$B$24,MATCH(E270,'Настройки цен'!$A$17:$A$24,0))="",'Настройки цен'!$B$5,INDEX('Настройки цен'!$B$17:$B$24,MATCH(E270,'Настройки цен'!$A$17:$A$24,0))),'Настройки цен'!$B$5))</f>
        <v>0</v>
      </c>
      <c r="AF270" s="9" t="str">
        <f aca="false">IF(AC270="","",ROUND(AC270*(1+AE270)/'Настройки цен'!$B$6,0)*'Настройки цен'!$B$6)</f>
        <v/>
      </c>
      <c r="AG270" s="12" t="str">
        <f aca="false">IF(OR(AC270="",H270=""),"",H270/AC270-1)</f>
        <v/>
      </c>
      <c r="AH270" s="7"/>
    </row>
    <row r="271" customFormat="false" ht="15.75" hidden="false" customHeight="true" outlineLevel="0" collapsed="false">
      <c r="A271" s="3" t="s">
        <v>492</v>
      </c>
      <c r="B271" s="3" t="s">
        <v>493</v>
      </c>
      <c r="D271" s="3" t="s">
        <v>273</v>
      </c>
      <c r="E271" s="3" t="s">
        <v>70</v>
      </c>
      <c r="F271" s="4"/>
      <c r="G271" s="5"/>
      <c r="H271" s="5" t="n">
        <v>5000</v>
      </c>
      <c r="I271" s="3" t="n">
        <v>2</v>
      </c>
      <c r="K271" s="6" t="n">
        <f aca="false">I271-J271</f>
        <v>2</v>
      </c>
      <c r="L271" s="5" t="n">
        <f aca="false">K271*H271</f>
        <v>10000</v>
      </c>
      <c r="M271" s="5" t="n">
        <f aca="false">IF(A271="","",H271*J271)</f>
        <v>0</v>
      </c>
      <c r="N271" s="5" t="n">
        <f aca="false">IF(A271="","",G271*J271)</f>
        <v>0</v>
      </c>
      <c r="O271" s="5" t="n">
        <f aca="false">IF(A271="","",M271-N271)</f>
        <v>0</v>
      </c>
      <c r="Q271" s="7" t="s">
        <v>492</v>
      </c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7" t="n">
        <f aca="false">SUMPRODUCT(--(R271:AA271&gt;0),'Настройки цен'!$B$12:$K$12)</f>
        <v>0</v>
      </c>
      <c r="AC271" s="9" t="str">
        <f aca="false">IF(AB271=0,"",SUMPRODUCT(R271:AA271,'Настройки цен'!$B$11:$K$11,'Настройки цен'!$B$12:$K$12)/AB271)</f>
        <v/>
      </c>
      <c r="AD271" s="10"/>
      <c r="AE271" s="11" t="n">
        <f aca="false">IF(AD271&lt;&gt;"",AD271,IFERROR(IF(INDEX('Настройки цен'!$B$17:$B$24,MATCH(E271,'Настройки цен'!$A$17:$A$24,0))="",'Настройки цен'!$B$5,INDEX('Настройки цен'!$B$17:$B$24,MATCH(E271,'Настройки цен'!$A$17:$A$24,0))),'Настройки цен'!$B$5))</f>
        <v>0</v>
      </c>
      <c r="AF271" s="9" t="str">
        <f aca="false">IF(AC271="","",ROUND(AC271*(1+AE271)/'Настройки цен'!$B$6,0)*'Настройки цен'!$B$6)</f>
        <v/>
      </c>
      <c r="AG271" s="12" t="str">
        <f aca="false">IF(OR(AC271="",H271=""),"",H271/AC271-1)</f>
        <v/>
      </c>
      <c r="AH271" s="7"/>
    </row>
    <row r="272" customFormat="false" ht="15.75" hidden="false" customHeight="true" outlineLevel="0" collapsed="false">
      <c r="A272" s="3" t="s">
        <v>494</v>
      </c>
      <c r="B272" s="3" t="s">
        <v>495</v>
      </c>
      <c r="D272" s="3" t="s">
        <v>273</v>
      </c>
      <c r="E272" s="3" t="s">
        <v>70</v>
      </c>
      <c r="F272" s="4"/>
      <c r="G272" s="5"/>
      <c r="H272" s="5" t="n">
        <v>45000</v>
      </c>
      <c r="I272" s="3" t="n">
        <v>1</v>
      </c>
      <c r="K272" s="6" t="n">
        <f aca="false">I272-J272</f>
        <v>1</v>
      </c>
      <c r="L272" s="5" t="n">
        <f aca="false">K272*H272</f>
        <v>45000</v>
      </c>
      <c r="M272" s="5" t="n">
        <f aca="false">IF(A272="","",H272*J272)</f>
        <v>0</v>
      </c>
      <c r="N272" s="5" t="n">
        <f aca="false">IF(A272="","",G272*J272)</f>
        <v>0</v>
      </c>
      <c r="O272" s="5" t="n">
        <f aca="false">IF(A272="","",M272-N272)</f>
        <v>0</v>
      </c>
      <c r="Q272" s="7" t="s">
        <v>494</v>
      </c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7" t="n">
        <f aca="false">SUMPRODUCT(--(R272:AA272&gt;0),'Настройки цен'!$B$12:$K$12)</f>
        <v>0</v>
      </c>
      <c r="AC272" s="9" t="str">
        <f aca="false">IF(AB272=0,"",SUMPRODUCT(R272:AA272,'Настройки цен'!$B$11:$K$11,'Настройки цен'!$B$12:$K$12)/AB272)</f>
        <v/>
      </c>
      <c r="AD272" s="10"/>
      <c r="AE272" s="11" t="n">
        <f aca="false">IF(AD272&lt;&gt;"",AD272,IFERROR(IF(INDEX('Настройки цен'!$B$17:$B$24,MATCH(E272,'Настройки цен'!$A$17:$A$24,0))="",'Настройки цен'!$B$5,INDEX('Настройки цен'!$B$17:$B$24,MATCH(E272,'Настройки цен'!$A$17:$A$24,0))),'Настройки цен'!$B$5))</f>
        <v>0</v>
      </c>
      <c r="AF272" s="9" t="str">
        <f aca="false">IF(AC272="","",ROUND(AC272*(1+AE272)/'Настройки цен'!$B$6,0)*'Настройки цен'!$B$6)</f>
        <v/>
      </c>
      <c r="AG272" s="12" t="str">
        <f aca="false">IF(OR(AC272="",H272=""),"",H272/AC272-1)</f>
        <v/>
      </c>
      <c r="AH272" s="7"/>
    </row>
    <row r="273" customFormat="false" ht="15.75" hidden="false" customHeight="true" outlineLevel="0" collapsed="false">
      <c r="A273" s="3" t="s">
        <v>496</v>
      </c>
      <c r="B273" s="3" t="s">
        <v>497</v>
      </c>
      <c r="D273" s="3" t="s">
        <v>273</v>
      </c>
      <c r="E273" s="3" t="s">
        <v>137</v>
      </c>
      <c r="F273" s="4"/>
      <c r="G273" s="5"/>
      <c r="H273" s="5" t="n">
        <v>3000</v>
      </c>
      <c r="I273" s="3" t="n">
        <v>1</v>
      </c>
      <c r="K273" s="6" t="n">
        <f aca="false">I273-J273</f>
        <v>1</v>
      </c>
      <c r="L273" s="5" t="n">
        <f aca="false">K273*H273</f>
        <v>3000</v>
      </c>
      <c r="M273" s="5" t="n">
        <f aca="false">IF(A273="","",H273*J273)</f>
        <v>0</v>
      </c>
      <c r="N273" s="5" t="n">
        <f aca="false">IF(A273="","",G273*J273)</f>
        <v>0</v>
      </c>
      <c r="O273" s="5" t="n">
        <f aca="false">IF(A273="","",M273-N273)</f>
        <v>0</v>
      </c>
      <c r="Q273" s="7" t="s">
        <v>496</v>
      </c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7" t="n">
        <f aca="false">SUMPRODUCT(--(R273:AA273&gt;0),'Настройки цен'!$B$12:$K$12)</f>
        <v>0</v>
      </c>
      <c r="AC273" s="9" t="str">
        <f aca="false">IF(AB273=0,"",SUMPRODUCT(R273:AA273,'Настройки цен'!$B$11:$K$11,'Настройки цен'!$B$12:$K$12)/AB273)</f>
        <v/>
      </c>
      <c r="AD273" s="10"/>
      <c r="AE273" s="11" t="n">
        <f aca="false">IF(AD273&lt;&gt;"",AD273,IFERROR(IF(INDEX('Настройки цен'!$B$17:$B$24,MATCH(E273,'Настройки цен'!$A$17:$A$24,0))="",'Настройки цен'!$B$5,INDEX('Настройки цен'!$B$17:$B$24,MATCH(E273,'Настройки цен'!$A$17:$A$24,0))),'Настройки цен'!$B$5))</f>
        <v>0</v>
      </c>
      <c r="AF273" s="9" t="str">
        <f aca="false">IF(AC273="","",ROUND(AC273*(1+AE273)/'Настройки цен'!$B$6,0)*'Настройки цен'!$B$6)</f>
        <v/>
      </c>
      <c r="AG273" s="12" t="str">
        <f aca="false">IF(OR(AC273="",H273=""),"",H273/AC273-1)</f>
        <v/>
      </c>
      <c r="AH273" s="7"/>
    </row>
    <row r="274" customFormat="false" ht="15.75" hidden="false" customHeight="true" outlineLevel="0" collapsed="false">
      <c r="B274" s="3" t="s">
        <v>498</v>
      </c>
      <c r="D274" s="3" t="s">
        <v>242</v>
      </c>
      <c r="E274" s="3" t="s">
        <v>55</v>
      </c>
      <c r="F274" s="4"/>
      <c r="G274" s="5"/>
      <c r="H274" s="5" t="n">
        <v>1000</v>
      </c>
      <c r="I274" s="3" t="n">
        <v>10</v>
      </c>
      <c r="K274" s="6" t="n">
        <f aca="false">I274-J274</f>
        <v>10</v>
      </c>
      <c r="L274" s="5" t="n">
        <f aca="false">K274*H274</f>
        <v>10000</v>
      </c>
      <c r="M274" s="5" t="str">
        <f aca="false">IF(A274="","",H274*J274)</f>
        <v/>
      </c>
      <c r="N274" s="5" t="str">
        <f aca="false">IF(A274="","",G274*J274)</f>
        <v/>
      </c>
      <c r="O274" s="5" t="str">
        <f aca="false">IF(A274="","",M274-N274)</f>
        <v/>
      </c>
      <c r="Q274" s="7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7" t="n">
        <f aca="false">SUMPRODUCT(--(R274:AA274&gt;0),'Настройки цен'!$B$12:$K$12)</f>
        <v>0</v>
      </c>
      <c r="AC274" s="9" t="str">
        <f aca="false">IF(AB274=0,"",SUMPRODUCT(R274:AA274,'Настройки цен'!$B$11:$K$11,'Настройки цен'!$B$12:$K$12)/AB274)</f>
        <v/>
      </c>
      <c r="AD274" s="10"/>
      <c r="AE274" s="11" t="n">
        <f aca="false">IF(AD274&lt;&gt;"",AD274,IFERROR(IF(INDEX('Настройки цен'!$B$17:$B$24,MATCH(E274,'Настройки цен'!$A$17:$A$24,0))="",'Настройки цен'!$B$5,INDEX('Настройки цен'!$B$17:$B$24,MATCH(E274,'Настройки цен'!$A$17:$A$24,0))),'Настройки цен'!$B$5))</f>
        <v>0</v>
      </c>
      <c r="AF274" s="9" t="str">
        <f aca="false">IF(AC274="","",ROUND(AC274*(1+AE274)/'Настройки цен'!$B$6,0)*'Настройки цен'!$B$6)</f>
        <v/>
      </c>
      <c r="AG274" s="12" t="str">
        <f aca="false">IF(OR(AC274="",H274=""),"",H274/AC274-1)</f>
        <v/>
      </c>
      <c r="AH274" s="7"/>
    </row>
    <row r="275" customFormat="false" ht="15.75" hidden="false" customHeight="true" outlineLevel="0" collapsed="false">
      <c r="B275" s="3" t="s">
        <v>499</v>
      </c>
      <c r="D275" s="3" t="s">
        <v>242</v>
      </c>
      <c r="E275" s="3" t="s">
        <v>55</v>
      </c>
      <c r="F275" s="4"/>
      <c r="G275" s="5"/>
      <c r="H275" s="5" t="n">
        <v>1000</v>
      </c>
      <c r="I275" s="3" t="n">
        <v>11</v>
      </c>
      <c r="K275" s="6" t="n">
        <f aca="false">I275-J275</f>
        <v>11</v>
      </c>
      <c r="L275" s="5" t="n">
        <f aca="false">K275*H275</f>
        <v>11000</v>
      </c>
      <c r="M275" s="5" t="str">
        <f aca="false">IF(A275="","",H275*J275)</f>
        <v/>
      </c>
      <c r="N275" s="5" t="str">
        <f aca="false">IF(A275="","",G275*J275)</f>
        <v/>
      </c>
      <c r="O275" s="5" t="str">
        <f aca="false">IF(A275="","",M275-N275)</f>
        <v/>
      </c>
      <c r="Q275" s="7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7" t="n">
        <f aca="false">SUMPRODUCT(--(R275:AA275&gt;0),'Настройки цен'!$B$12:$K$12)</f>
        <v>0</v>
      </c>
      <c r="AC275" s="9" t="str">
        <f aca="false">IF(AB275=0,"",SUMPRODUCT(R275:AA275,'Настройки цен'!$B$11:$K$11,'Настройки цен'!$B$12:$K$12)/AB275)</f>
        <v/>
      </c>
      <c r="AD275" s="10"/>
      <c r="AE275" s="11" t="n">
        <f aca="false">IF(AD275&lt;&gt;"",AD275,IFERROR(IF(INDEX('Настройки цен'!$B$17:$B$24,MATCH(E275,'Настройки цен'!$A$17:$A$24,0))="",'Настройки цен'!$B$5,INDEX('Настройки цен'!$B$17:$B$24,MATCH(E275,'Настройки цен'!$A$17:$A$24,0))),'Настройки цен'!$B$5))</f>
        <v>0</v>
      </c>
      <c r="AF275" s="9" t="str">
        <f aca="false">IF(AC275="","",ROUND(AC275*(1+AE275)/'Настройки цен'!$B$6,0)*'Настройки цен'!$B$6)</f>
        <v/>
      </c>
      <c r="AG275" s="12" t="str">
        <f aca="false">IF(OR(AC275="",H275=""),"",H275/AC275-1)</f>
        <v/>
      </c>
      <c r="AH275" s="7"/>
    </row>
    <row r="276" customFormat="false" ht="15.75" hidden="false" customHeight="true" outlineLevel="0" collapsed="false">
      <c r="B276" s="3" t="s">
        <v>500</v>
      </c>
      <c r="D276" s="3" t="s">
        <v>242</v>
      </c>
      <c r="E276" s="3" t="s">
        <v>55</v>
      </c>
      <c r="F276" s="4"/>
      <c r="G276" s="5"/>
      <c r="H276" s="5" t="n">
        <v>1000</v>
      </c>
      <c r="I276" s="3" t="n">
        <v>6</v>
      </c>
      <c r="K276" s="6" t="n">
        <f aca="false">I276-J276</f>
        <v>6</v>
      </c>
      <c r="L276" s="5" t="n">
        <f aca="false">K276*H276</f>
        <v>6000</v>
      </c>
      <c r="M276" s="5" t="str">
        <f aca="false">IF(A276="","",H276*J276)</f>
        <v/>
      </c>
      <c r="N276" s="5" t="str">
        <f aca="false">IF(A276="","",G276*J276)</f>
        <v/>
      </c>
      <c r="O276" s="5" t="str">
        <f aca="false">IF(A276="","",M276-N276)</f>
        <v/>
      </c>
      <c r="Q276" s="7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7" t="n">
        <f aca="false">SUMPRODUCT(--(R276:AA276&gt;0),'Настройки цен'!$B$12:$K$12)</f>
        <v>0</v>
      </c>
      <c r="AC276" s="9" t="str">
        <f aca="false">IF(AB276=0,"",SUMPRODUCT(R276:AA276,'Настройки цен'!$B$11:$K$11,'Настройки цен'!$B$12:$K$12)/AB276)</f>
        <v/>
      </c>
      <c r="AD276" s="10"/>
      <c r="AE276" s="11" t="n">
        <f aca="false">IF(AD276&lt;&gt;"",AD276,IFERROR(IF(INDEX('Настройки цен'!$B$17:$B$24,MATCH(E276,'Настройки цен'!$A$17:$A$24,0))="",'Настройки цен'!$B$5,INDEX('Настройки цен'!$B$17:$B$24,MATCH(E276,'Настройки цен'!$A$17:$A$24,0))),'Настройки цен'!$B$5))</f>
        <v>0</v>
      </c>
      <c r="AF276" s="9" t="str">
        <f aca="false">IF(AC276="","",ROUND(AC276*(1+AE276)/'Настройки цен'!$B$6,0)*'Настройки цен'!$B$6)</f>
        <v/>
      </c>
      <c r="AG276" s="12" t="str">
        <f aca="false">IF(OR(AC276="",H276=""),"",H276/AC276-1)</f>
        <v/>
      </c>
      <c r="AH276" s="7"/>
    </row>
    <row r="277" customFormat="false" ht="15.75" hidden="false" customHeight="true" outlineLevel="0" collapsed="false">
      <c r="A277" s="3" t="s">
        <v>501</v>
      </c>
      <c r="B277" s="3" t="s">
        <v>502</v>
      </c>
      <c r="D277" s="3" t="s">
        <v>41</v>
      </c>
      <c r="E277" s="3" t="s">
        <v>37</v>
      </c>
      <c r="F277" s="4"/>
      <c r="G277" s="5"/>
      <c r="H277" s="5" t="n">
        <v>5000</v>
      </c>
      <c r="I277" s="3" t="n">
        <v>1</v>
      </c>
      <c r="K277" s="6" t="n">
        <f aca="false">I277-J277</f>
        <v>1</v>
      </c>
      <c r="L277" s="5" t="n">
        <f aca="false">K277*H277</f>
        <v>5000</v>
      </c>
      <c r="M277" s="5" t="n">
        <f aca="false">IF(A277="","",H277*J277)</f>
        <v>0</v>
      </c>
      <c r="N277" s="5" t="n">
        <f aca="false">IF(A277="","",G277*J277)</f>
        <v>0</v>
      </c>
      <c r="O277" s="5" t="n">
        <f aca="false">IF(A277="","",M277-N277)</f>
        <v>0</v>
      </c>
      <c r="Q277" s="7" t="s">
        <v>501</v>
      </c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7" t="n">
        <f aca="false">SUMPRODUCT(--(R277:AA277&gt;0),'Настройки цен'!$B$12:$K$12)</f>
        <v>0</v>
      </c>
      <c r="AC277" s="9" t="str">
        <f aca="false">IF(AB277=0,"",SUMPRODUCT(R277:AA277,'Настройки цен'!$B$11:$K$11,'Настройки цен'!$B$12:$K$12)/AB277)</f>
        <v/>
      </c>
      <c r="AD277" s="10"/>
      <c r="AE277" s="11" t="n">
        <f aca="false">IF(AD277&lt;&gt;"",AD277,IFERROR(IF(INDEX('Настройки цен'!$B$17:$B$24,MATCH(E277,'Настройки цен'!$A$17:$A$24,0))="",'Настройки цен'!$B$5,INDEX('Настройки цен'!$B$17:$B$24,MATCH(E277,'Настройки цен'!$A$17:$A$24,0))),'Настройки цен'!$B$5))</f>
        <v>0</v>
      </c>
      <c r="AF277" s="9" t="str">
        <f aca="false">IF(AC277="","",ROUND(AC277*(1+AE277)/'Настройки цен'!$B$6,0)*'Настройки цен'!$B$6)</f>
        <v/>
      </c>
      <c r="AG277" s="12" t="str">
        <f aca="false">IF(OR(AC277="",H277=""),"",H277/AC277-1)</f>
        <v/>
      </c>
      <c r="AH277" s="7"/>
    </row>
    <row r="278" customFormat="false" ht="15.75" hidden="false" customHeight="true" outlineLevel="0" collapsed="false">
      <c r="B278" s="3" t="s">
        <v>503</v>
      </c>
      <c r="D278" s="3" t="s">
        <v>41</v>
      </c>
      <c r="E278" s="3" t="s">
        <v>135</v>
      </c>
      <c r="F278" s="4"/>
      <c r="G278" s="5"/>
      <c r="H278" s="5" t="n">
        <v>50</v>
      </c>
      <c r="I278" s="3" t="n">
        <v>61</v>
      </c>
      <c r="K278" s="6" t="n">
        <f aca="false">I278-J278</f>
        <v>61</v>
      </c>
      <c r="L278" s="5" t="n">
        <f aca="false">K278*H278</f>
        <v>3050</v>
      </c>
      <c r="M278" s="5" t="str">
        <f aca="false">IF(A278="","",H278*J278)</f>
        <v/>
      </c>
      <c r="N278" s="5" t="str">
        <f aca="false">IF(A278="","",G278*J278)</f>
        <v/>
      </c>
      <c r="O278" s="5" t="str">
        <f aca="false">IF(A278="","",M278-N278)</f>
        <v/>
      </c>
      <c r="Q278" s="7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7" t="n">
        <f aca="false">SUMPRODUCT(--(R278:AA278&gt;0),'Настройки цен'!$B$12:$K$12)</f>
        <v>0</v>
      </c>
      <c r="AC278" s="9" t="str">
        <f aca="false">IF(AB278=0,"",SUMPRODUCT(R278:AA278,'Настройки цен'!$B$11:$K$11,'Настройки цен'!$B$12:$K$12)/AB278)</f>
        <v/>
      </c>
      <c r="AD278" s="10"/>
      <c r="AE278" s="11" t="n">
        <f aca="false">IF(AD278&lt;&gt;"",AD278,IFERROR(IF(INDEX('Настройки цен'!$B$17:$B$24,MATCH(E278,'Настройки цен'!$A$17:$A$24,0))="",'Настройки цен'!$B$5,INDEX('Настройки цен'!$B$17:$B$24,MATCH(E278,'Настройки цен'!$A$17:$A$24,0))),'Настройки цен'!$B$5))</f>
        <v>0</v>
      </c>
      <c r="AF278" s="9" t="str">
        <f aca="false">IF(AC278="","",ROUND(AC278*(1+AE278)/'Настройки цен'!$B$6,0)*'Настройки цен'!$B$6)</f>
        <v/>
      </c>
      <c r="AG278" s="12" t="str">
        <f aca="false">IF(OR(AC278="",H278=""),"",H278/AC278-1)</f>
        <v/>
      </c>
      <c r="AH278" s="7"/>
    </row>
    <row r="279" customFormat="false" ht="15.75" hidden="false" customHeight="true" outlineLevel="0" collapsed="false">
      <c r="B279" s="3" t="s">
        <v>504</v>
      </c>
      <c r="D279" s="3" t="s">
        <v>82</v>
      </c>
      <c r="E279" s="3" t="s">
        <v>137</v>
      </c>
      <c r="F279" s="4"/>
      <c r="G279" s="5"/>
      <c r="H279" s="5" t="n">
        <v>8000</v>
      </c>
      <c r="I279" s="3" t="n">
        <v>4</v>
      </c>
      <c r="K279" s="6" t="n">
        <f aca="false">I279-J279</f>
        <v>4</v>
      </c>
      <c r="L279" s="5" t="n">
        <f aca="false">K279*H279</f>
        <v>32000</v>
      </c>
      <c r="M279" s="5" t="str">
        <f aca="false">IF(A279="","",H279*J279)</f>
        <v/>
      </c>
      <c r="N279" s="5" t="str">
        <f aca="false">IF(A279="","",G279*J279)</f>
        <v/>
      </c>
      <c r="O279" s="5" t="str">
        <f aca="false">IF(A279="","",M279-N279)</f>
        <v/>
      </c>
      <c r="Q279" s="7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7" t="n">
        <f aca="false">SUMPRODUCT(--(R279:AA279&gt;0),'Настройки цен'!$B$12:$K$12)</f>
        <v>0</v>
      </c>
      <c r="AC279" s="9" t="str">
        <f aca="false">IF(AB279=0,"",SUMPRODUCT(R279:AA279,'Настройки цен'!$B$11:$K$11,'Настройки цен'!$B$12:$K$12)/AB279)</f>
        <v/>
      </c>
      <c r="AD279" s="10"/>
      <c r="AE279" s="11" t="n">
        <f aca="false">IF(AD279&lt;&gt;"",AD279,IFERROR(IF(INDEX('Настройки цен'!$B$17:$B$24,MATCH(E279,'Настройки цен'!$A$17:$A$24,0))="",'Настройки цен'!$B$5,INDEX('Настройки цен'!$B$17:$B$24,MATCH(E279,'Настройки цен'!$A$17:$A$24,0))),'Настройки цен'!$B$5))</f>
        <v>0</v>
      </c>
      <c r="AF279" s="9" t="str">
        <f aca="false">IF(AC279="","",ROUND(AC279*(1+AE279)/'Настройки цен'!$B$6,0)*'Настройки цен'!$B$6)</f>
        <v/>
      </c>
      <c r="AG279" s="12" t="str">
        <f aca="false">IF(OR(AC279="",H279=""),"",H279/AC279-1)</f>
        <v/>
      </c>
      <c r="AH279" s="7"/>
    </row>
    <row r="280" customFormat="false" ht="15.75" hidden="false" customHeight="true" outlineLevel="0" collapsed="false">
      <c r="E280" s="3"/>
      <c r="F280" s="4"/>
      <c r="G280" s="5"/>
      <c r="H280" s="5"/>
      <c r="K280" s="6" t="n">
        <f aca="false">I280-J280</f>
        <v>0</v>
      </c>
      <c r="L280" s="5" t="n">
        <f aca="false">K280*H280</f>
        <v>0</v>
      </c>
      <c r="M280" s="5" t="str">
        <f aca="false">IF(A280="","",H280*J280)</f>
        <v/>
      </c>
      <c r="N280" s="5" t="str">
        <f aca="false">IF(A280="","",G280*J280)</f>
        <v/>
      </c>
      <c r="O280" s="5" t="str">
        <f aca="false">IF(A280="","",M280-N280)</f>
        <v/>
      </c>
    </row>
    <row r="281" customFormat="false" ht="15.75" hidden="false" customHeight="true" outlineLevel="0" collapsed="false">
      <c r="E281" s="3"/>
      <c r="F281" s="4"/>
      <c r="G281" s="5"/>
      <c r="H281" s="5"/>
      <c r="K281" s="6" t="n">
        <f aca="false">I281-J281</f>
        <v>0</v>
      </c>
      <c r="L281" s="5" t="n">
        <f aca="false">K281*H281</f>
        <v>0</v>
      </c>
      <c r="M281" s="5" t="str">
        <f aca="false">IF(A281="","",H281*J281)</f>
        <v/>
      </c>
      <c r="N281" s="5" t="str">
        <f aca="false">IF(A281="","",G281*J281)</f>
        <v/>
      </c>
      <c r="O281" s="5" t="str">
        <f aca="false">IF(A281="","",M281-N281)</f>
        <v/>
      </c>
    </row>
    <row r="282" customFormat="false" ht="15.75" hidden="false" customHeight="true" outlineLevel="0" collapsed="false">
      <c r="E282" s="3"/>
      <c r="F282" s="4"/>
      <c r="G282" s="5"/>
      <c r="H282" s="5"/>
      <c r="K282" s="6" t="n">
        <f aca="false">I282-J282</f>
        <v>0</v>
      </c>
      <c r="L282" s="5" t="n">
        <f aca="false">K282*H282</f>
        <v>0</v>
      </c>
      <c r="M282" s="5" t="str">
        <f aca="false">IF(A282="","",H282*J282)</f>
        <v/>
      </c>
      <c r="N282" s="5" t="str">
        <f aca="false">IF(A282="","",G282*J282)</f>
        <v/>
      </c>
      <c r="O282" s="5" t="str">
        <f aca="false">IF(A282="","",M282-N282)</f>
        <v/>
      </c>
    </row>
    <row r="283" customFormat="false" ht="15.75" hidden="false" customHeight="true" outlineLevel="0" collapsed="false">
      <c r="E283" s="3"/>
      <c r="F283" s="4"/>
      <c r="G283" s="5"/>
      <c r="H283" s="5"/>
      <c r="K283" s="6" t="n">
        <f aca="false">I283-J283</f>
        <v>0</v>
      </c>
      <c r="L283" s="5" t="n">
        <f aca="false">K283*H283</f>
        <v>0</v>
      </c>
      <c r="M283" s="5" t="str">
        <f aca="false">IF(A283="","",H283*J283)</f>
        <v/>
      </c>
      <c r="N283" s="5" t="str">
        <f aca="false">IF(A283="","",G283*J283)</f>
        <v/>
      </c>
      <c r="O283" s="5" t="str">
        <f aca="false">IF(A283="","",M283-N283)</f>
        <v/>
      </c>
    </row>
    <row r="284" customFormat="false" ht="15.75" hidden="false" customHeight="true" outlineLevel="0" collapsed="false">
      <c r="E284" s="3"/>
      <c r="F284" s="4"/>
      <c r="G284" s="5"/>
      <c r="H284" s="5"/>
      <c r="K284" s="6" t="n">
        <f aca="false">I284-J284</f>
        <v>0</v>
      </c>
      <c r="L284" s="5" t="n">
        <f aca="false">K284*H284</f>
        <v>0</v>
      </c>
      <c r="M284" s="5" t="str">
        <f aca="false">IF(A284="","",H284*J284)</f>
        <v/>
      </c>
      <c r="N284" s="5" t="str">
        <f aca="false">IF(A284="","",G284*J284)</f>
        <v/>
      </c>
      <c r="O284" s="5" t="str">
        <f aca="false">IF(A284="","",M284-N284)</f>
        <v/>
      </c>
    </row>
    <row r="285" customFormat="false" ht="15.75" hidden="false" customHeight="true" outlineLevel="0" collapsed="false">
      <c r="E285" s="3"/>
      <c r="F285" s="4"/>
      <c r="G285" s="5"/>
      <c r="H285" s="5"/>
      <c r="K285" s="6" t="n">
        <f aca="false">I285-J285</f>
        <v>0</v>
      </c>
      <c r="L285" s="5" t="n">
        <f aca="false">K285*H285</f>
        <v>0</v>
      </c>
      <c r="M285" s="5" t="str">
        <f aca="false">IF(A285="","",H285*J285)</f>
        <v/>
      </c>
      <c r="N285" s="5" t="str">
        <f aca="false">IF(A285="","",G285*J285)</f>
        <v/>
      </c>
      <c r="O285" s="5" t="str">
        <f aca="false">IF(A285="","",M285-N285)</f>
        <v/>
      </c>
    </row>
    <row r="286" customFormat="false" ht="15.75" hidden="false" customHeight="true" outlineLevel="0" collapsed="false">
      <c r="E286" s="3"/>
      <c r="F286" s="4"/>
      <c r="G286" s="5"/>
      <c r="H286" s="5"/>
      <c r="K286" s="6" t="n">
        <f aca="false">I286-J286</f>
        <v>0</v>
      </c>
      <c r="L286" s="5" t="n">
        <f aca="false">K286*H286</f>
        <v>0</v>
      </c>
      <c r="M286" s="5" t="str">
        <f aca="false">IF(A286="","",H286*J286)</f>
        <v/>
      </c>
      <c r="N286" s="5" t="str">
        <f aca="false">IF(A286="","",G286*J286)</f>
        <v/>
      </c>
      <c r="O286" s="5" t="str">
        <f aca="false">IF(A286="","",M286-N286)</f>
        <v/>
      </c>
    </row>
    <row r="287" customFormat="false" ht="15.75" hidden="false" customHeight="true" outlineLevel="0" collapsed="false">
      <c r="E287" s="3"/>
      <c r="F287" s="4"/>
      <c r="G287" s="5"/>
      <c r="H287" s="5"/>
      <c r="K287" s="6" t="n">
        <f aca="false">I287-J287</f>
        <v>0</v>
      </c>
      <c r="L287" s="5" t="n">
        <f aca="false">K287*H287</f>
        <v>0</v>
      </c>
      <c r="M287" s="5" t="str">
        <f aca="false">IF(A287="","",H287*J287)</f>
        <v/>
      </c>
      <c r="N287" s="5" t="str">
        <f aca="false">IF(A287="","",G287*J287)</f>
        <v/>
      </c>
      <c r="O287" s="5" t="str">
        <f aca="false">IF(A287="","",M287-N287)</f>
        <v/>
      </c>
    </row>
    <row r="288" customFormat="false" ht="15.75" hidden="false" customHeight="true" outlineLevel="0" collapsed="false">
      <c r="E288" s="3"/>
      <c r="F288" s="4"/>
      <c r="G288" s="5"/>
      <c r="H288" s="5"/>
      <c r="K288" s="6" t="n">
        <f aca="false">I288-J288</f>
        <v>0</v>
      </c>
      <c r="L288" s="5" t="n">
        <f aca="false">K288*H288</f>
        <v>0</v>
      </c>
      <c r="M288" s="5" t="str">
        <f aca="false">IF(A288="","",H288*J288)</f>
        <v/>
      </c>
      <c r="N288" s="5" t="str">
        <f aca="false">IF(A288="","",G288*J288)</f>
        <v/>
      </c>
      <c r="O288" s="5" t="str">
        <f aca="false">IF(A288="","",M288-N288)</f>
        <v/>
      </c>
    </row>
    <row r="289" customFormat="false" ht="15.75" hidden="false" customHeight="true" outlineLevel="0" collapsed="false">
      <c r="E289" s="3"/>
      <c r="F289" s="4"/>
      <c r="G289" s="5"/>
      <c r="H289" s="5"/>
      <c r="K289" s="6" t="n">
        <f aca="false">I289-J289</f>
        <v>0</v>
      </c>
      <c r="L289" s="5" t="n">
        <f aca="false">K289*H289</f>
        <v>0</v>
      </c>
      <c r="M289" s="5" t="str">
        <f aca="false">IF(A289="","",H289*J289)</f>
        <v/>
      </c>
      <c r="N289" s="5" t="str">
        <f aca="false">IF(A289="","",G289*J289)</f>
        <v/>
      </c>
      <c r="O289" s="5" t="str">
        <f aca="false">IF(A289="","",M289-N289)</f>
        <v/>
      </c>
    </row>
    <row r="290" customFormat="false" ht="15.75" hidden="false" customHeight="true" outlineLevel="0" collapsed="false">
      <c r="E290" s="3"/>
      <c r="F290" s="4"/>
      <c r="G290" s="5"/>
      <c r="H290" s="5"/>
      <c r="K290" s="6" t="n">
        <f aca="false">I290-J290</f>
        <v>0</v>
      </c>
      <c r="L290" s="5" t="n">
        <f aca="false">K290*H290</f>
        <v>0</v>
      </c>
      <c r="M290" s="5" t="str">
        <f aca="false">IF(A290="","",H290*J290)</f>
        <v/>
      </c>
      <c r="N290" s="5" t="str">
        <f aca="false">IF(A290="","",G290*J290)</f>
        <v/>
      </c>
      <c r="O290" s="5" t="str">
        <f aca="false">IF(A290="","",M290-N290)</f>
        <v/>
      </c>
    </row>
    <row r="291" customFormat="false" ht="15.75" hidden="false" customHeight="true" outlineLevel="0" collapsed="false">
      <c r="E291" s="3"/>
      <c r="F291" s="4"/>
      <c r="G291" s="5"/>
      <c r="H291" s="5"/>
      <c r="K291" s="6" t="n">
        <f aca="false">I291-J291</f>
        <v>0</v>
      </c>
      <c r="L291" s="5" t="n">
        <f aca="false">K291*H291</f>
        <v>0</v>
      </c>
      <c r="M291" s="5" t="str">
        <f aca="false">IF(A291="","",H291*J291)</f>
        <v/>
      </c>
      <c r="N291" s="5" t="str">
        <f aca="false">IF(A291="","",G291*J291)</f>
        <v/>
      </c>
      <c r="O291" s="5" t="str">
        <f aca="false">IF(A291="","",M291-N291)</f>
        <v/>
      </c>
    </row>
    <row r="292" customFormat="false" ht="15.75" hidden="false" customHeight="true" outlineLevel="0" collapsed="false">
      <c r="E292" s="3"/>
      <c r="F292" s="4"/>
      <c r="G292" s="5"/>
      <c r="H292" s="5"/>
      <c r="K292" s="6" t="n">
        <f aca="false">I292-J292</f>
        <v>0</v>
      </c>
      <c r="L292" s="5" t="n">
        <f aca="false">K292*H292</f>
        <v>0</v>
      </c>
      <c r="M292" s="5" t="str">
        <f aca="false">IF(A292="","",H292*J292)</f>
        <v/>
      </c>
      <c r="N292" s="5" t="str">
        <f aca="false">IF(A292="","",G292*J292)</f>
        <v/>
      </c>
      <c r="O292" s="5" t="str">
        <f aca="false">IF(A292="","",M292-N292)</f>
        <v/>
      </c>
    </row>
    <row r="293" customFormat="false" ht="15.75" hidden="false" customHeight="true" outlineLevel="0" collapsed="false">
      <c r="E293" s="3"/>
      <c r="F293" s="4"/>
      <c r="G293" s="5"/>
      <c r="H293" s="5"/>
      <c r="K293" s="6" t="n">
        <f aca="false">I293-J293</f>
        <v>0</v>
      </c>
      <c r="L293" s="5" t="n">
        <f aca="false">K293*H293</f>
        <v>0</v>
      </c>
      <c r="M293" s="5" t="str">
        <f aca="false">IF(A293="","",H293*J293)</f>
        <v/>
      </c>
      <c r="N293" s="5" t="str">
        <f aca="false">IF(A293="","",G293*J293)</f>
        <v/>
      </c>
      <c r="O293" s="5" t="str">
        <f aca="false">IF(A293="","",M293-N293)</f>
        <v/>
      </c>
    </row>
    <row r="294" customFormat="false" ht="15.75" hidden="false" customHeight="true" outlineLevel="0" collapsed="false">
      <c r="E294" s="3"/>
      <c r="F294" s="4"/>
      <c r="G294" s="5"/>
      <c r="H294" s="5"/>
      <c r="K294" s="6" t="n">
        <f aca="false">I294-J294</f>
        <v>0</v>
      </c>
      <c r="L294" s="5" t="n">
        <f aca="false">K294*H294</f>
        <v>0</v>
      </c>
      <c r="M294" s="5" t="str">
        <f aca="false">IF(A294="","",H294*J294)</f>
        <v/>
      </c>
      <c r="N294" s="5" t="str">
        <f aca="false">IF(A294="","",G294*J294)</f>
        <v/>
      </c>
      <c r="O294" s="5" t="str">
        <f aca="false">IF(A294="","",M294-N294)</f>
        <v/>
      </c>
    </row>
    <row r="295" customFormat="false" ht="15.75" hidden="false" customHeight="true" outlineLevel="0" collapsed="false">
      <c r="E295" s="3"/>
      <c r="F295" s="4"/>
      <c r="G295" s="5"/>
      <c r="H295" s="5"/>
      <c r="K295" s="6" t="n">
        <f aca="false">I295-J295</f>
        <v>0</v>
      </c>
      <c r="L295" s="5" t="n">
        <f aca="false">K295*H295</f>
        <v>0</v>
      </c>
      <c r="M295" s="5" t="str">
        <f aca="false">IF(A295="","",H295*J295)</f>
        <v/>
      </c>
      <c r="N295" s="5" t="str">
        <f aca="false">IF(A295="","",G295*J295)</f>
        <v/>
      </c>
      <c r="O295" s="5" t="str">
        <f aca="false">IF(A295="","",M295-N295)</f>
        <v/>
      </c>
    </row>
    <row r="296" customFormat="false" ht="15.75" hidden="false" customHeight="true" outlineLevel="0" collapsed="false">
      <c r="E296" s="3"/>
      <c r="F296" s="4"/>
      <c r="G296" s="5"/>
      <c r="H296" s="5"/>
      <c r="K296" s="6" t="n">
        <f aca="false">I296-J296</f>
        <v>0</v>
      </c>
      <c r="L296" s="5" t="n">
        <f aca="false">K296*H296</f>
        <v>0</v>
      </c>
      <c r="M296" s="5" t="str">
        <f aca="false">IF(A296="","",H296*J296)</f>
        <v/>
      </c>
      <c r="N296" s="5" t="str">
        <f aca="false">IF(A296="","",G296*J296)</f>
        <v/>
      </c>
      <c r="O296" s="5" t="str">
        <f aca="false">IF(A296="","",M296-N296)</f>
        <v/>
      </c>
    </row>
    <row r="297" customFormat="false" ht="15.75" hidden="false" customHeight="true" outlineLevel="0" collapsed="false">
      <c r="E297" s="3"/>
      <c r="F297" s="4"/>
      <c r="G297" s="5"/>
      <c r="H297" s="5"/>
      <c r="K297" s="6" t="n">
        <f aca="false">I297-J297</f>
        <v>0</v>
      </c>
      <c r="L297" s="5" t="n">
        <f aca="false">K297*H297</f>
        <v>0</v>
      </c>
      <c r="M297" s="5" t="str">
        <f aca="false">IF(A297="","",H297*J297)</f>
        <v/>
      </c>
      <c r="N297" s="5" t="str">
        <f aca="false">IF(A297="","",G297*J297)</f>
        <v/>
      </c>
      <c r="O297" s="5" t="str">
        <f aca="false">IF(A297="","",M297-N297)</f>
        <v/>
      </c>
    </row>
    <row r="298" customFormat="false" ht="15.75" hidden="false" customHeight="true" outlineLevel="0" collapsed="false">
      <c r="E298" s="3"/>
      <c r="F298" s="4"/>
      <c r="G298" s="5"/>
      <c r="H298" s="5"/>
      <c r="K298" s="6" t="n">
        <f aca="false">I298-J298</f>
        <v>0</v>
      </c>
      <c r="L298" s="5" t="n">
        <f aca="false">K298*H298</f>
        <v>0</v>
      </c>
      <c r="M298" s="5" t="str">
        <f aca="false">IF(A298="","",H298*J298)</f>
        <v/>
      </c>
      <c r="N298" s="5" t="str">
        <f aca="false">IF(A298="","",G298*J298)</f>
        <v/>
      </c>
      <c r="O298" s="5" t="str">
        <f aca="false">IF(A298="","",M298-N298)</f>
        <v/>
      </c>
    </row>
    <row r="299" customFormat="false" ht="15.75" hidden="false" customHeight="true" outlineLevel="0" collapsed="false">
      <c r="E299" s="3"/>
      <c r="F299" s="4"/>
      <c r="G299" s="5"/>
      <c r="H299" s="5"/>
      <c r="K299" s="6" t="n">
        <f aca="false">I299-J299</f>
        <v>0</v>
      </c>
      <c r="L299" s="5" t="n">
        <f aca="false">K299*H299</f>
        <v>0</v>
      </c>
      <c r="M299" s="5" t="str">
        <f aca="false">IF(A299="","",H299*J299)</f>
        <v/>
      </c>
      <c r="N299" s="5" t="str">
        <f aca="false">IF(A299="","",G299*J299)</f>
        <v/>
      </c>
      <c r="O299" s="5" t="str">
        <f aca="false">IF(A299="","",M299-N299)</f>
        <v/>
      </c>
    </row>
    <row r="300" customFormat="false" ht="15.75" hidden="false" customHeight="true" outlineLevel="0" collapsed="false">
      <c r="E300" s="3"/>
      <c r="F300" s="4"/>
      <c r="G300" s="5"/>
      <c r="H300" s="5"/>
      <c r="K300" s="6" t="n">
        <f aca="false">I300-J300</f>
        <v>0</v>
      </c>
      <c r="L300" s="5" t="n">
        <f aca="false">K300*H300</f>
        <v>0</v>
      </c>
      <c r="M300" s="5" t="str">
        <f aca="false">IF(A300="","",H300*J300)</f>
        <v/>
      </c>
      <c r="N300" s="5" t="str">
        <f aca="false">IF(A300="","",G300*J300)</f>
        <v/>
      </c>
      <c r="O300" s="5" t="str">
        <f aca="false">IF(A300="","",M300-N300)</f>
        <v/>
      </c>
    </row>
    <row r="301" customFormat="false" ht="15.75" hidden="false" customHeight="true" outlineLevel="0" collapsed="false">
      <c r="E301" s="3"/>
      <c r="F301" s="4"/>
      <c r="G301" s="5"/>
      <c r="H301" s="5"/>
      <c r="K301" s="6" t="n">
        <f aca="false">I301-J301</f>
        <v>0</v>
      </c>
      <c r="L301" s="5" t="n">
        <f aca="false">K301*H301</f>
        <v>0</v>
      </c>
      <c r="M301" s="5" t="str">
        <f aca="false">IF(A301="","",H301*J301)</f>
        <v/>
      </c>
      <c r="N301" s="5" t="str">
        <f aca="false">IF(A301="","",G301*J301)</f>
        <v/>
      </c>
      <c r="O301" s="5" t="str">
        <f aca="false">IF(A301="","",M301-N301)</f>
        <v/>
      </c>
    </row>
    <row r="302" customFormat="false" ht="15.75" hidden="false" customHeight="true" outlineLevel="0" collapsed="false">
      <c r="E302" s="3"/>
      <c r="F302" s="4"/>
      <c r="G302" s="5"/>
      <c r="H302" s="5"/>
      <c r="K302" s="6" t="n">
        <f aca="false">I302-J302</f>
        <v>0</v>
      </c>
      <c r="L302" s="5" t="n">
        <f aca="false">K302*H302</f>
        <v>0</v>
      </c>
      <c r="M302" s="5" t="str">
        <f aca="false">IF(A302="","",H302*J302)</f>
        <v/>
      </c>
      <c r="N302" s="5" t="str">
        <f aca="false">IF(A302="","",G302*J302)</f>
        <v/>
      </c>
      <c r="O302" s="5" t="str">
        <f aca="false">IF(A302="","",M302-N302)</f>
        <v/>
      </c>
    </row>
    <row r="303" customFormat="false" ht="15.75" hidden="false" customHeight="true" outlineLevel="0" collapsed="false">
      <c r="E303" s="3"/>
      <c r="F303" s="4"/>
      <c r="G303" s="5"/>
      <c r="H303" s="5"/>
      <c r="K303" s="6" t="n">
        <f aca="false">I303-J303</f>
        <v>0</v>
      </c>
      <c r="L303" s="5" t="n">
        <f aca="false">K303*H303</f>
        <v>0</v>
      </c>
      <c r="M303" s="5" t="str">
        <f aca="false">IF(A303="","",H303*J303)</f>
        <v/>
      </c>
      <c r="N303" s="5" t="str">
        <f aca="false">IF(A303="","",G303*J303)</f>
        <v/>
      </c>
      <c r="O303" s="5" t="str">
        <f aca="false">IF(A303="","",M303-N303)</f>
        <v/>
      </c>
    </row>
    <row r="304" customFormat="false" ht="15.75" hidden="false" customHeight="true" outlineLevel="0" collapsed="false">
      <c r="E304" s="3"/>
      <c r="F304" s="4"/>
      <c r="G304" s="5"/>
      <c r="H304" s="5"/>
      <c r="K304" s="6" t="n">
        <f aca="false">I304-J304</f>
        <v>0</v>
      </c>
      <c r="L304" s="5" t="n">
        <f aca="false">K304*H304</f>
        <v>0</v>
      </c>
      <c r="M304" s="5" t="str">
        <f aca="false">IF(A304="","",H304*J304)</f>
        <v/>
      </c>
      <c r="N304" s="5" t="str">
        <f aca="false">IF(A304="","",G304*J304)</f>
        <v/>
      </c>
      <c r="O304" s="5" t="str">
        <f aca="false">IF(A304="","",M304-N304)</f>
        <v/>
      </c>
    </row>
    <row r="305" customFormat="false" ht="15.75" hidden="false" customHeight="true" outlineLevel="0" collapsed="false">
      <c r="E305" s="3"/>
      <c r="F305" s="4"/>
      <c r="G305" s="5"/>
      <c r="H305" s="5"/>
      <c r="K305" s="6" t="n">
        <f aca="false">I305-J305</f>
        <v>0</v>
      </c>
      <c r="L305" s="5" t="n">
        <f aca="false">K305*H305</f>
        <v>0</v>
      </c>
      <c r="M305" s="5" t="str">
        <f aca="false">IF(A305="","",H305*J305)</f>
        <v/>
      </c>
      <c r="N305" s="5" t="str">
        <f aca="false">IF(A305="","",G305*J305)</f>
        <v/>
      </c>
      <c r="O305" s="5" t="str">
        <f aca="false">IF(A305="","",M305-N305)</f>
        <v/>
      </c>
    </row>
    <row r="306" customFormat="false" ht="15.75" hidden="false" customHeight="true" outlineLevel="0" collapsed="false">
      <c r="E306" s="3"/>
      <c r="F306" s="4"/>
      <c r="G306" s="5"/>
      <c r="H306" s="5"/>
      <c r="K306" s="6" t="n">
        <f aca="false">I306-J306</f>
        <v>0</v>
      </c>
      <c r="L306" s="5" t="n">
        <f aca="false">K306*H306</f>
        <v>0</v>
      </c>
      <c r="M306" s="5" t="str">
        <f aca="false">IF(A306="","",H306*J306)</f>
        <v/>
      </c>
      <c r="N306" s="5" t="str">
        <f aca="false">IF(A306="","",G306*J306)</f>
        <v/>
      </c>
      <c r="O306" s="5" t="str">
        <f aca="false">IF(A306="","",M306-N306)</f>
        <v/>
      </c>
    </row>
    <row r="307" customFormat="false" ht="15.75" hidden="false" customHeight="true" outlineLevel="0" collapsed="false">
      <c r="E307" s="3"/>
      <c r="F307" s="4"/>
      <c r="G307" s="5"/>
      <c r="H307" s="5"/>
      <c r="K307" s="6" t="n">
        <f aca="false">I307-J307</f>
        <v>0</v>
      </c>
      <c r="L307" s="5" t="n">
        <f aca="false">K307*H307</f>
        <v>0</v>
      </c>
      <c r="M307" s="5" t="str">
        <f aca="false">IF(A307="","",H307*J307)</f>
        <v/>
      </c>
      <c r="N307" s="5" t="str">
        <f aca="false">IF(A307="","",G307*J307)</f>
        <v/>
      </c>
      <c r="O307" s="5" t="str">
        <f aca="false">IF(A307="","",M307-N307)</f>
        <v/>
      </c>
    </row>
    <row r="308" customFormat="false" ht="15.75" hidden="false" customHeight="true" outlineLevel="0" collapsed="false">
      <c r="E308" s="3"/>
      <c r="F308" s="4"/>
      <c r="G308" s="5"/>
      <c r="H308" s="5"/>
      <c r="K308" s="6" t="n">
        <f aca="false">I308-J308</f>
        <v>0</v>
      </c>
      <c r="L308" s="5" t="n">
        <f aca="false">K308*H308</f>
        <v>0</v>
      </c>
      <c r="M308" s="5" t="str">
        <f aca="false">IF(A308="","",H308*J308)</f>
        <v/>
      </c>
      <c r="N308" s="5" t="str">
        <f aca="false">IF(A308="","",G308*J308)</f>
        <v/>
      </c>
      <c r="O308" s="5" t="str">
        <f aca="false">IF(A308="","",M308-N308)</f>
        <v/>
      </c>
    </row>
    <row r="309" customFormat="false" ht="15.75" hidden="false" customHeight="true" outlineLevel="0" collapsed="false">
      <c r="E309" s="3"/>
      <c r="F309" s="4"/>
      <c r="G309" s="5"/>
      <c r="H309" s="5"/>
      <c r="K309" s="6" t="n">
        <f aca="false">I309-J309</f>
        <v>0</v>
      </c>
      <c r="L309" s="5" t="n">
        <f aca="false">K309*H309</f>
        <v>0</v>
      </c>
      <c r="M309" s="5" t="str">
        <f aca="false">IF(A309="","",H309*J309)</f>
        <v/>
      </c>
      <c r="N309" s="5" t="str">
        <f aca="false">IF(A309="","",G309*J309)</f>
        <v/>
      </c>
      <c r="O309" s="5" t="str">
        <f aca="false">IF(A309="","",M309-N309)</f>
        <v/>
      </c>
    </row>
    <row r="310" customFormat="false" ht="15.75" hidden="false" customHeight="true" outlineLevel="0" collapsed="false">
      <c r="E310" s="3"/>
      <c r="F310" s="4"/>
      <c r="G310" s="5"/>
      <c r="H310" s="5"/>
      <c r="K310" s="6" t="n">
        <f aca="false">I310-J310</f>
        <v>0</v>
      </c>
      <c r="L310" s="5" t="n">
        <f aca="false">K310*H310</f>
        <v>0</v>
      </c>
      <c r="M310" s="5" t="str">
        <f aca="false">IF(A310="","",H310*J310)</f>
        <v/>
      </c>
      <c r="N310" s="5" t="str">
        <f aca="false">IF(A310="","",G310*J310)</f>
        <v/>
      </c>
      <c r="O310" s="5" t="str">
        <f aca="false">IF(A310="","",M310-N310)</f>
        <v/>
      </c>
    </row>
    <row r="311" customFormat="false" ht="15.75" hidden="false" customHeight="true" outlineLevel="0" collapsed="false">
      <c r="E311" s="3"/>
      <c r="F311" s="4"/>
      <c r="G311" s="5"/>
      <c r="H311" s="5"/>
      <c r="K311" s="6" t="n">
        <f aca="false">I311-J311</f>
        <v>0</v>
      </c>
      <c r="L311" s="5" t="n">
        <f aca="false">K311*H311</f>
        <v>0</v>
      </c>
      <c r="M311" s="5" t="str">
        <f aca="false">IF(A311="","",H311*J311)</f>
        <v/>
      </c>
      <c r="N311" s="5" t="str">
        <f aca="false">IF(A311="","",G311*J311)</f>
        <v/>
      </c>
      <c r="O311" s="5" t="str">
        <f aca="false">IF(A311="","",M311-N311)</f>
        <v/>
      </c>
    </row>
    <row r="312" customFormat="false" ht="15.75" hidden="false" customHeight="true" outlineLevel="0" collapsed="false">
      <c r="E312" s="3"/>
      <c r="F312" s="4"/>
      <c r="G312" s="5"/>
      <c r="H312" s="5"/>
      <c r="K312" s="6" t="n">
        <f aca="false">I312-J312</f>
        <v>0</v>
      </c>
      <c r="L312" s="5" t="n">
        <f aca="false">K312*H312</f>
        <v>0</v>
      </c>
      <c r="M312" s="5" t="str">
        <f aca="false">IF(A312="","",H312*J312)</f>
        <v/>
      </c>
      <c r="N312" s="5" t="str">
        <f aca="false">IF(A312="","",G312*J312)</f>
        <v/>
      </c>
      <c r="O312" s="5" t="str">
        <f aca="false">IF(A312="","",M312-N312)</f>
        <v/>
      </c>
    </row>
    <row r="313" customFormat="false" ht="15.75" hidden="false" customHeight="true" outlineLevel="0" collapsed="false">
      <c r="E313" s="3"/>
      <c r="F313" s="4"/>
      <c r="G313" s="5"/>
      <c r="H313" s="5"/>
      <c r="K313" s="6" t="n">
        <f aca="false">I313-J313</f>
        <v>0</v>
      </c>
      <c r="L313" s="5" t="n">
        <f aca="false">K313*H313</f>
        <v>0</v>
      </c>
      <c r="M313" s="5" t="str">
        <f aca="false">IF(A313="","",H313*J313)</f>
        <v/>
      </c>
      <c r="N313" s="5" t="str">
        <f aca="false">IF(A313="","",G313*J313)</f>
        <v/>
      </c>
      <c r="O313" s="5" t="str">
        <f aca="false">IF(A313="","",M313-N313)</f>
        <v/>
      </c>
    </row>
    <row r="314" customFormat="false" ht="15.75" hidden="false" customHeight="true" outlineLevel="0" collapsed="false">
      <c r="E314" s="3"/>
      <c r="F314" s="4"/>
      <c r="G314" s="5"/>
      <c r="H314" s="5"/>
      <c r="K314" s="6" t="n">
        <f aca="false">I314-J314</f>
        <v>0</v>
      </c>
      <c r="L314" s="5" t="n">
        <f aca="false">K314*H314</f>
        <v>0</v>
      </c>
      <c r="M314" s="5" t="str">
        <f aca="false">IF(A314="","",H314*J314)</f>
        <v/>
      </c>
      <c r="N314" s="5" t="str">
        <f aca="false">IF(A314="","",G314*J314)</f>
        <v/>
      </c>
      <c r="O314" s="5" t="str">
        <f aca="false">IF(A314="","",M314-N314)</f>
        <v/>
      </c>
    </row>
    <row r="315" customFormat="false" ht="15.75" hidden="false" customHeight="true" outlineLevel="0" collapsed="false">
      <c r="E315" s="3"/>
      <c r="F315" s="4"/>
      <c r="G315" s="5"/>
      <c r="H315" s="5"/>
      <c r="K315" s="6" t="n">
        <f aca="false">I315-J315</f>
        <v>0</v>
      </c>
      <c r="L315" s="5" t="n">
        <f aca="false">K315*H315</f>
        <v>0</v>
      </c>
      <c r="M315" s="5" t="str">
        <f aca="false">IF(A315="","",H315*J315)</f>
        <v/>
      </c>
      <c r="N315" s="5" t="str">
        <f aca="false">IF(A315="","",G315*J315)</f>
        <v/>
      </c>
      <c r="O315" s="5" t="str">
        <f aca="false">IF(A315="","",M315-N315)</f>
        <v/>
      </c>
    </row>
    <row r="316" customFormat="false" ht="15.75" hidden="false" customHeight="true" outlineLevel="0" collapsed="false">
      <c r="E316" s="3"/>
      <c r="F316" s="4"/>
      <c r="G316" s="5"/>
      <c r="H316" s="5"/>
      <c r="K316" s="6" t="n">
        <f aca="false">I316-J316</f>
        <v>0</v>
      </c>
      <c r="L316" s="5" t="n">
        <f aca="false">K316*H316</f>
        <v>0</v>
      </c>
      <c r="M316" s="5" t="str">
        <f aca="false">IF(A316="","",H316*J316)</f>
        <v/>
      </c>
      <c r="N316" s="5" t="str">
        <f aca="false">IF(A316="","",G316*J316)</f>
        <v/>
      </c>
      <c r="O316" s="5" t="str">
        <f aca="false">IF(A316="","",M316-N316)</f>
        <v/>
      </c>
    </row>
    <row r="317" customFormat="false" ht="15.75" hidden="false" customHeight="true" outlineLevel="0" collapsed="false">
      <c r="E317" s="3"/>
      <c r="F317" s="4"/>
      <c r="G317" s="5"/>
      <c r="H317" s="5"/>
      <c r="K317" s="6" t="n">
        <f aca="false">I317-J317</f>
        <v>0</v>
      </c>
      <c r="L317" s="5" t="n">
        <f aca="false">K317*H317</f>
        <v>0</v>
      </c>
      <c r="M317" s="5" t="str">
        <f aca="false">IF(A317="","",H317*J317)</f>
        <v/>
      </c>
      <c r="N317" s="5" t="str">
        <f aca="false">IF(A317="","",G317*J317)</f>
        <v/>
      </c>
      <c r="O317" s="5" t="str">
        <f aca="false">IF(A317="","",M317-N317)</f>
        <v/>
      </c>
    </row>
    <row r="318" customFormat="false" ht="15.75" hidden="false" customHeight="true" outlineLevel="0" collapsed="false">
      <c r="E318" s="3"/>
      <c r="F318" s="4"/>
      <c r="G318" s="5"/>
      <c r="H318" s="5"/>
      <c r="K318" s="6" t="n">
        <f aca="false">I318-J318</f>
        <v>0</v>
      </c>
      <c r="L318" s="5" t="n">
        <f aca="false">K318*H318</f>
        <v>0</v>
      </c>
      <c r="M318" s="5" t="str">
        <f aca="false">IF(A318="","",H318*J318)</f>
        <v/>
      </c>
      <c r="N318" s="5" t="str">
        <f aca="false">IF(A318="","",G318*J318)</f>
        <v/>
      </c>
      <c r="O318" s="5" t="str">
        <f aca="false">IF(A318="","",M318-N318)</f>
        <v/>
      </c>
    </row>
    <row r="319" customFormat="false" ht="15.75" hidden="false" customHeight="true" outlineLevel="0" collapsed="false">
      <c r="E319" s="3"/>
      <c r="F319" s="4"/>
      <c r="G319" s="5"/>
      <c r="H319" s="5"/>
      <c r="K319" s="6" t="n">
        <f aca="false">I319-J319</f>
        <v>0</v>
      </c>
      <c r="L319" s="5" t="n">
        <f aca="false">K319*H319</f>
        <v>0</v>
      </c>
      <c r="M319" s="5" t="str">
        <f aca="false">IF(A319="","",H319*J319)</f>
        <v/>
      </c>
      <c r="N319" s="5" t="str">
        <f aca="false">IF(A319="","",G319*J319)</f>
        <v/>
      </c>
      <c r="O319" s="5" t="str">
        <f aca="false">IF(A319="","",M319-N319)</f>
        <v/>
      </c>
    </row>
    <row r="320" customFormat="false" ht="15.75" hidden="false" customHeight="true" outlineLevel="0" collapsed="false">
      <c r="E320" s="3"/>
      <c r="F320" s="4"/>
      <c r="G320" s="5"/>
      <c r="H320" s="5"/>
      <c r="K320" s="6" t="n">
        <f aca="false">I320-J320</f>
        <v>0</v>
      </c>
      <c r="L320" s="5" t="n">
        <f aca="false">K320*H320</f>
        <v>0</v>
      </c>
      <c r="M320" s="5" t="str">
        <f aca="false">IF(A320="","",H320*J320)</f>
        <v/>
      </c>
      <c r="N320" s="5" t="str">
        <f aca="false">IF(A320="","",G320*J320)</f>
        <v/>
      </c>
      <c r="O320" s="5" t="str">
        <f aca="false">IF(A320="","",M320-N320)</f>
        <v/>
      </c>
    </row>
    <row r="321" customFormat="false" ht="15.75" hidden="false" customHeight="true" outlineLevel="0" collapsed="false">
      <c r="E321" s="3"/>
      <c r="F321" s="4"/>
      <c r="G321" s="5"/>
      <c r="H321" s="5"/>
      <c r="K321" s="6" t="n">
        <f aca="false">I321-J321</f>
        <v>0</v>
      </c>
      <c r="L321" s="5" t="n">
        <f aca="false">K321*H321</f>
        <v>0</v>
      </c>
      <c r="M321" s="5" t="str">
        <f aca="false">IF(A321="","",H321*J321)</f>
        <v/>
      </c>
      <c r="N321" s="5" t="str">
        <f aca="false">IF(A321="","",G321*J321)</f>
        <v/>
      </c>
      <c r="O321" s="5" t="str">
        <f aca="false">IF(A321="","",M321-N321)</f>
        <v/>
      </c>
    </row>
    <row r="322" customFormat="false" ht="15.75" hidden="false" customHeight="true" outlineLevel="0" collapsed="false">
      <c r="E322" s="3"/>
      <c r="F322" s="4"/>
      <c r="G322" s="5"/>
      <c r="H322" s="5"/>
      <c r="K322" s="6" t="n">
        <f aca="false">I322-J322</f>
        <v>0</v>
      </c>
      <c r="L322" s="5" t="n">
        <f aca="false">K322*H322</f>
        <v>0</v>
      </c>
      <c r="M322" s="5" t="str">
        <f aca="false">IF(A322="","",H322*J322)</f>
        <v/>
      </c>
      <c r="N322" s="5" t="str">
        <f aca="false">IF(A322="","",G322*J322)</f>
        <v/>
      </c>
      <c r="O322" s="5" t="str">
        <f aca="false">IF(A322="","",M322-N322)</f>
        <v/>
      </c>
    </row>
    <row r="323" customFormat="false" ht="15.75" hidden="false" customHeight="true" outlineLevel="0" collapsed="false">
      <c r="E323" s="3"/>
      <c r="F323" s="4"/>
      <c r="G323" s="5"/>
      <c r="H323" s="5"/>
      <c r="K323" s="6" t="n">
        <f aca="false">I323-J323</f>
        <v>0</v>
      </c>
      <c r="L323" s="5" t="n">
        <f aca="false">K323*H323</f>
        <v>0</v>
      </c>
      <c r="M323" s="5" t="str">
        <f aca="false">IF(A323="","",H323*J323)</f>
        <v/>
      </c>
      <c r="N323" s="5" t="str">
        <f aca="false">IF(A323="","",G323*J323)</f>
        <v/>
      </c>
      <c r="O323" s="5" t="str">
        <f aca="false">IF(A323="","",M323-N323)</f>
        <v/>
      </c>
    </row>
    <row r="324" customFormat="false" ht="15.75" hidden="false" customHeight="true" outlineLevel="0" collapsed="false">
      <c r="E324" s="3"/>
      <c r="F324" s="4"/>
      <c r="G324" s="5"/>
      <c r="H324" s="5"/>
      <c r="K324" s="6" t="n">
        <f aca="false">I324-J324</f>
        <v>0</v>
      </c>
      <c r="L324" s="5" t="n">
        <f aca="false">K324*H324</f>
        <v>0</v>
      </c>
      <c r="M324" s="5" t="str">
        <f aca="false">IF(A324="","",H324*J324)</f>
        <v/>
      </c>
      <c r="N324" s="5" t="str">
        <f aca="false">IF(A324="","",G324*J324)</f>
        <v/>
      </c>
      <c r="O324" s="5" t="str">
        <f aca="false">IF(A324="","",M324-N324)</f>
        <v/>
      </c>
    </row>
    <row r="325" customFormat="false" ht="15.75" hidden="false" customHeight="true" outlineLevel="0" collapsed="false">
      <c r="E325" s="3"/>
      <c r="F325" s="4"/>
      <c r="G325" s="5"/>
      <c r="H325" s="5"/>
      <c r="K325" s="6" t="n">
        <f aca="false">I325-J325</f>
        <v>0</v>
      </c>
      <c r="L325" s="5" t="n">
        <f aca="false">K325*H325</f>
        <v>0</v>
      </c>
      <c r="M325" s="5" t="str">
        <f aca="false">IF(A325="","",H325*J325)</f>
        <v/>
      </c>
      <c r="N325" s="5" t="str">
        <f aca="false">IF(A325="","",G325*J325)</f>
        <v/>
      </c>
      <c r="O325" s="5" t="str">
        <f aca="false">IF(A325="","",M325-N325)</f>
        <v/>
      </c>
    </row>
    <row r="326" customFormat="false" ht="15.75" hidden="false" customHeight="true" outlineLevel="0" collapsed="false">
      <c r="E326" s="3"/>
      <c r="F326" s="4"/>
      <c r="G326" s="5"/>
      <c r="H326" s="5"/>
      <c r="K326" s="6" t="n">
        <f aca="false">I326-J326</f>
        <v>0</v>
      </c>
      <c r="L326" s="5" t="n">
        <f aca="false">K326*H326</f>
        <v>0</v>
      </c>
      <c r="M326" s="5" t="str">
        <f aca="false">IF(A326="","",H326*J326)</f>
        <v/>
      </c>
      <c r="N326" s="5" t="str">
        <f aca="false">IF(A326="","",G326*J326)</f>
        <v/>
      </c>
      <c r="O326" s="5" t="str">
        <f aca="false">IF(A326="","",M326-N326)</f>
        <v/>
      </c>
    </row>
    <row r="327" customFormat="false" ht="15.75" hidden="false" customHeight="true" outlineLevel="0" collapsed="false">
      <c r="E327" s="3"/>
      <c r="F327" s="4"/>
      <c r="G327" s="5"/>
      <c r="H327" s="5"/>
      <c r="K327" s="6" t="n">
        <f aca="false">I327-J327</f>
        <v>0</v>
      </c>
      <c r="L327" s="5" t="n">
        <f aca="false">K327*H327</f>
        <v>0</v>
      </c>
      <c r="M327" s="5" t="str">
        <f aca="false">IF(A327="","",H327*J327)</f>
        <v/>
      </c>
      <c r="N327" s="5" t="str">
        <f aca="false">IF(A327="","",G327*J327)</f>
        <v/>
      </c>
      <c r="O327" s="5" t="str">
        <f aca="false">IF(A327="","",M327-N327)</f>
        <v/>
      </c>
    </row>
    <row r="328" customFormat="false" ht="15.75" hidden="false" customHeight="true" outlineLevel="0" collapsed="false">
      <c r="E328" s="3"/>
      <c r="F328" s="4"/>
      <c r="G328" s="5"/>
      <c r="H328" s="5"/>
      <c r="K328" s="6" t="n">
        <f aca="false">I328-J328</f>
        <v>0</v>
      </c>
      <c r="L328" s="5" t="n">
        <f aca="false">K328*H328</f>
        <v>0</v>
      </c>
      <c r="M328" s="5" t="str">
        <f aca="false">IF(A328="","",H328*J328)</f>
        <v/>
      </c>
      <c r="N328" s="5" t="str">
        <f aca="false">IF(A328="","",G328*J328)</f>
        <v/>
      </c>
      <c r="O328" s="5" t="str">
        <f aca="false">IF(A328="","",M328-N328)</f>
        <v/>
      </c>
    </row>
    <row r="329" customFormat="false" ht="15.75" hidden="false" customHeight="true" outlineLevel="0" collapsed="false">
      <c r="E329" s="3"/>
      <c r="F329" s="4"/>
      <c r="G329" s="5"/>
      <c r="H329" s="5"/>
      <c r="K329" s="6" t="n">
        <f aca="false">I329-J329</f>
        <v>0</v>
      </c>
      <c r="L329" s="5" t="n">
        <f aca="false">K329*H329</f>
        <v>0</v>
      </c>
      <c r="M329" s="5" t="str">
        <f aca="false">IF(A329="","",H329*J329)</f>
        <v/>
      </c>
      <c r="N329" s="5" t="str">
        <f aca="false">IF(A329="","",G329*J329)</f>
        <v/>
      </c>
      <c r="O329" s="5" t="str">
        <f aca="false">IF(A329="","",M329-N329)</f>
        <v/>
      </c>
    </row>
    <row r="330" customFormat="false" ht="15.75" hidden="false" customHeight="true" outlineLevel="0" collapsed="false">
      <c r="E330" s="3"/>
      <c r="F330" s="4"/>
      <c r="G330" s="5"/>
      <c r="H330" s="5"/>
      <c r="K330" s="6" t="n">
        <f aca="false">I330-J330</f>
        <v>0</v>
      </c>
      <c r="L330" s="5" t="n">
        <f aca="false">K330*H330</f>
        <v>0</v>
      </c>
      <c r="M330" s="5" t="str">
        <f aca="false">IF(A330="","",H330*J330)</f>
        <v/>
      </c>
      <c r="N330" s="5" t="str">
        <f aca="false">IF(A330="","",G330*J330)</f>
        <v/>
      </c>
      <c r="O330" s="5" t="str">
        <f aca="false">IF(A330="","",M330-N330)</f>
        <v/>
      </c>
    </row>
    <row r="331" customFormat="false" ht="15.75" hidden="false" customHeight="true" outlineLevel="0" collapsed="false">
      <c r="E331" s="3"/>
      <c r="F331" s="4"/>
      <c r="G331" s="5"/>
      <c r="H331" s="5"/>
      <c r="K331" s="6" t="n">
        <f aca="false">I331-J331</f>
        <v>0</v>
      </c>
      <c r="L331" s="5" t="n">
        <f aca="false">K331*H331</f>
        <v>0</v>
      </c>
      <c r="M331" s="5" t="str">
        <f aca="false">IF(A331="","",H331*J331)</f>
        <v/>
      </c>
      <c r="N331" s="5" t="str">
        <f aca="false">IF(A331="","",G331*J331)</f>
        <v/>
      </c>
      <c r="O331" s="5" t="str">
        <f aca="false">IF(A331="","",M331-N331)</f>
        <v/>
      </c>
    </row>
    <row r="332" customFormat="false" ht="15.75" hidden="false" customHeight="true" outlineLevel="0" collapsed="false">
      <c r="E332" s="3"/>
      <c r="F332" s="4"/>
      <c r="G332" s="5"/>
      <c r="H332" s="5"/>
      <c r="K332" s="6" t="n">
        <f aca="false">I332-J332</f>
        <v>0</v>
      </c>
      <c r="L332" s="5" t="n">
        <f aca="false">K332*H332</f>
        <v>0</v>
      </c>
      <c r="M332" s="5" t="str">
        <f aca="false">IF(A332="","",H332*J332)</f>
        <v/>
      </c>
      <c r="N332" s="5" t="str">
        <f aca="false">IF(A332="","",G332*J332)</f>
        <v/>
      </c>
      <c r="O332" s="5" t="str">
        <f aca="false">IF(A332="","",M332-N332)</f>
        <v/>
      </c>
    </row>
    <row r="333" customFormat="false" ht="15.75" hidden="false" customHeight="true" outlineLevel="0" collapsed="false">
      <c r="E333" s="3"/>
      <c r="F333" s="4"/>
      <c r="G333" s="5"/>
      <c r="H333" s="5"/>
      <c r="K333" s="6" t="n">
        <f aca="false">I333-J333</f>
        <v>0</v>
      </c>
      <c r="L333" s="5" t="n">
        <f aca="false">K333*H333</f>
        <v>0</v>
      </c>
      <c r="M333" s="5" t="str">
        <f aca="false">IF(A333="","",H333*J333)</f>
        <v/>
      </c>
      <c r="N333" s="5" t="str">
        <f aca="false">IF(A333="","",G333*J333)</f>
        <v/>
      </c>
      <c r="O333" s="5" t="str">
        <f aca="false">IF(A333="","",M333-N333)</f>
        <v/>
      </c>
    </row>
    <row r="334" customFormat="false" ht="15.75" hidden="false" customHeight="true" outlineLevel="0" collapsed="false">
      <c r="E334" s="3"/>
      <c r="F334" s="4"/>
      <c r="G334" s="5"/>
      <c r="H334" s="5"/>
      <c r="K334" s="6" t="n">
        <f aca="false">I334-J334</f>
        <v>0</v>
      </c>
      <c r="L334" s="5" t="n">
        <f aca="false">K334*H334</f>
        <v>0</v>
      </c>
      <c r="M334" s="5" t="str">
        <f aca="false">IF(A334="","",H334*J334)</f>
        <v/>
      </c>
      <c r="N334" s="5" t="str">
        <f aca="false">IF(A334="","",G334*J334)</f>
        <v/>
      </c>
      <c r="O334" s="5" t="str">
        <f aca="false">IF(A334="","",M334-N334)</f>
        <v/>
      </c>
    </row>
    <row r="335" customFormat="false" ht="15.75" hidden="false" customHeight="true" outlineLevel="0" collapsed="false">
      <c r="E335" s="3"/>
      <c r="F335" s="4"/>
      <c r="G335" s="5"/>
      <c r="H335" s="5"/>
      <c r="K335" s="6" t="n">
        <f aca="false">I335-J335</f>
        <v>0</v>
      </c>
      <c r="L335" s="5" t="n">
        <f aca="false">K335*H335</f>
        <v>0</v>
      </c>
      <c r="M335" s="5" t="str">
        <f aca="false">IF(A335="","",H335*J335)</f>
        <v/>
      </c>
      <c r="N335" s="5" t="str">
        <f aca="false">IF(A335="","",G335*J335)</f>
        <v/>
      </c>
      <c r="O335" s="5" t="str">
        <f aca="false">IF(A335="","",M335-N335)</f>
        <v/>
      </c>
    </row>
    <row r="336" customFormat="false" ht="15.75" hidden="false" customHeight="true" outlineLevel="0" collapsed="false">
      <c r="E336" s="3"/>
      <c r="F336" s="4"/>
      <c r="G336" s="5"/>
      <c r="H336" s="5"/>
      <c r="K336" s="6" t="n">
        <f aca="false">I336-J336</f>
        <v>0</v>
      </c>
      <c r="L336" s="5" t="n">
        <f aca="false">K336*H336</f>
        <v>0</v>
      </c>
      <c r="M336" s="5" t="str">
        <f aca="false">IF(A336="","",H336*J336)</f>
        <v/>
      </c>
      <c r="N336" s="5" t="str">
        <f aca="false">IF(A336="","",G336*J336)</f>
        <v/>
      </c>
      <c r="O336" s="5" t="str">
        <f aca="false">IF(A336="","",M336-N336)</f>
        <v/>
      </c>
    </row>
    <row r="337" customFormat="false" ht="15.75" hidden="false" customHeight="true" outlineLevel="0" collapsed="false">
      <c r="E337" s="3"/>
      <c r="F337" s="4"/>
      <c r="G337" s="5"/>
      <c r="H337" s="5"/>
      <c r="K337" s="6" t="n">
        <f aca="false">I337-J337</f>
        <v>0</v>
      </c>
      <c r="L337" s="5" t="n">
        <f aca="false">K337*H337</f>
        <v>0</v>
      </c>
      <c r="M337" s="5" t="str">
        <f aca="false">IF(A337="","",H337*J337)</f>
        <v/>
      </c>
      <c r="N337" s="5" t="str">
        <f aca="false">IF(A337="","",G337*J337)</f>
        <v/>
      </c>
      <c r="O337" s="5" t="str">
        <f aca="false">IF(A337="","",M337-N337)</f>
        <v/>
      </c>
    </row>
    <row r="338" customFormat="false" ht="15.75" hidden="false" customHeight="true" outlineLevel="0" collapsed="false">
      <c r="E338" s="3"/>
      <c r="F338" s="4"/>
      <c r="G338" s="5"/>
      <c r="H338" s="5"/>
      <c r="K338" s="6" t="n">
        <f aca="false">I338-J338</f>
        <v>0</v>
      </c>
      <c r="L338" s="5" t="n">
        <f aca="false">K338*H338</f>
        <v>0</v>
      </c>
      <c r="M338" s="5" t="str">
        <f aca="false">IF(A338="","",H338*J338)</f>
        <v/>
      </c>
      <c r="N338" s="5" t="str">
        <f aca="false">IF(A338="","",G338*J338)</f>
        <v/>
      </c>
      <c r="O338" s="5" t="str">
        <f aca="false">IF(A338="","",M338-N338)</f>
        <v/>
      </c>
    </row>
    <row r="339" customFormat="false" ht="15.75" hidden="false" customHeight="true" outlineLevel="0" collapsed="false">
      <c r="E339" s="3"/>
      <c r="F339" s="4"/>
      <c r="G339" s="5"/>
      <c r="H339" s="5"/>
      <c r="K339" s="6" t="n">
        <f aca="false">I339-J339</f>
        <v>0</v>
      </c>
      <c r="L339" s="5" t="n">
        <f aca="false">K339*H339</f>
        <v>0</v>
      </c>
      <c r="M339" s="5" t="str">
        <f aca="false">IF(A339="","",H339*J339)</f>
        <v/>
      </c>
      <c r="N339" s="5" t="str">
        <f aca="false">IF(A339="","",G339*J339)</f>
        <v/>
      </c>
      <c r="O339" s="5" t="str">
        <f aca="false">IF(A339="","",M339-N339)</f>
        <v/>
      </c>
    </row>
    <row r="340" customFormat="false" ht="15.75" hidden="false" customHeight="true" outlineLevel="0" collapsed="false">
      <c r="E340" s="3"/>
      <c r="F340" s="4"/>
      <c r="G340" s="5"/>
      <c r="H340" s="5"/>
      <c r="K340" s="6" t="n">
        <f aca="false">I340-J340</f>
        <v>0</v>
      </c>
      <c r="L340" s="5" t="n">
        <f aca="false">K340*H340</f>
        <v>0</v>
      </c>
      <c r="M340" s="5" t="str">
        <f aca="false">IF(A340="","",H340*J340)</f>
        <v/>
      </c>
      <c r="N340" s="5" t="str">
        <f aca="false">IF(A340="","",G340*J340)</f>
        <v/>
      </c>
      <c r="O340" s="5" t="str">
        <f aca="false">IF(A340="","",M340-N340)</f>
        <v/>
      </c>
    </row>
    <row r="341" customFormat="false" ht="15.75" hidden="false" customHeight="true" outlineLevel="0" collapsed="false">
      <c r="E341" s="3"/>
      <c r="F341" s="4"/>
      <c r="G341" s="5"/>
      <c r="H341" s="5"/>
      <c r="K341" s="6" t="n">
        <f aca="false">I341-J341</f>
        <v>0</v>
      </c>
      <c r="L341" s="5" t="n">
        <f aca="false">K341*H341</f>
        <v>0</v>
      </c>
      <c r="M341" s="5" t="str">
        <f aca="false">IF(A341="","",H341*J341)</f>
        <v/>
      </c>
      <c r="N341" s="5" t="str">
        <f aca="false">IF(A341="","",G341*J341)</f>
        <v/>
      </c>
      <c r="O341" s="5" t="str">
        <f aca="false">IF(A341="","",M341-N341)</f>
        <v/>
      </c>
    </row>
    <row r="342" customFormat="false" ht="15.75" hidden="false" customHeight="true" outlineLevel="0" collapsed="false">
      <c r="E342" s="3"/>
      <c r="F342" s="4"/>
      <c r="G342" s="5"/>
      <c r="H342" s="5"/>
      <c r="K342" s="6" t="n">
        <f aca="false">I342-J342</f>
        <v>0</v>
      </c>
      <c r="L342" s="5" t="n">
        <f aca="false">K342*H342</f>
        <v>0</v>
      </c>
      <c r="M342" s="5" t="str">
        <f aca="false">IF(A342="","",H342*J342)</f>
        <v/>
      </c>
      <c r="N342" s="5" t="str">
        <f aca="false">IF(A342="","",G342*J342)</f>
        <v/>
      </c>
      <c r="O342" s="5" t="str">
        <f aca="false">IF(A342="","",M342-N342)</f>
        <v/>
      </c>
    </row>
    <row r="343" customFormat="false" ht="15.75" hidden="false" customHeight="true" outlineLevel="0" collapsed="false">
      <c r="E343" s="3"/>
      <c r="F343" s="4"/>
      <c r="G343" s="5"/>
      <c r="H343" s="5"/>
      <c r="K343" s="6" t="n">
        <f aca="false">I343-J343</f>
        <v>0</v>
      </c>
      <c r="L343" s="5" t="n">
        <f aca="false">K343*H343</f>
        <v>0</v>
      </c>
      <c r="M343" s="5" t="str">
        <f aca="false">IF(A343="","",H343*J343)</f>
        <v/>
      </c>
      <c r="N343" s="5" t="str">
        <f aca="false">IF(A343="","",G343*J343)</f>
        <v/>
      </c>
      <c r="O343" s="5" t="str">
        <f aca="false">IF(A343="","",M343-N343)</f>
        <v/>
      </c>
    </row>
    <row r="344" customFormat="false" ht="15.75" hidden="false" customHeight="true" outlineLevel="0" collapsed="false">
      <c r="E344" s="3"/>
      <c r="F344" s="4"/>
      <c r="G344" s="5"/>
      <c r="H344" s="5"/>
      <c r="K344" s="6" t="n">
        <f aca="false">I344-J344</f>
        <v>0</v>
      </c>
      <c r="L344" s="5" t="n">
        <f aca="false">K344*H344</f>
        <v>0</v>
      </c>
      <c r="M344" s="5" t="str">
        <f aca="false">IF(A344="","",H344*J344)</f>
        <v/>
      </c>
      <c r="N344" s="5" t="str">
        <f aca="false">IF(A344="","",G344*J344)</f>
        <v/>
      </c>
      <c r="O344" s="5" t="str">
        <f aca="false">IF(A344="","",M344-N344)</f>
        <v/>
      </c>
    </row>
    <row r="345" customFormat="false" ht="15.75" hidden="false" customHeight="true" outlineLevel="0" collapsed="false">
      <c r="E345" s="3"/>
      <c r="F345" s="4"/>
      <c r="G345" s="5"/>
      <c r="H345" s="5"/>
      <c r="K345" s="6" t="n">
        <f aca="false">I345-J345</f>
        <v>0</v>
      </c>
      <c r="L345" s="5" t="n">
        <f aca="false">K345*H345</f>
        <v>0</v>
      </c>
      <c r="M345" s="5" t="str">
        <f aca="false">IF(A345="","",H345*J345)</f>
        <v/>
      </c>
      <c r="N345" s="5" t="str">
        <f aca="false">IF(A345="","",G345*J345)</f>
        <v/>
      </c>
      <c r="O345" s="5" t="str">
        <f aca="false">IF(A345="","",M345-N345)</f>
        <v/>
      </c>
    </row>
    <row r="346" customFormat="false" ht="15.75" hidden="false" customHeight="true" outlineLevel="0" collapsed="false">
      <c r="E346" s="3"/>
      <c r="F346" s="4"/>
      <c r="G346" s="5"/>
      <c r="H346" s="5"/>
      <c r="K346" s="6" t="n">
        <f aca="false">I346-J346</f>
        <v>0</v>
      </c>
      <c r="L346" s="5" t="n">
        <f aca="false">K346*H346</f>
        <v>0</v>
      </c>
      <c r="M346" s="5" t="str">
        <f aca="false">IF(A346="","",H346*J346)</f>
        <v/>
      </c>
      <c r="N346" s="5" t="str">
        <f aca="false">IF(A346="","",G346*J346)</f>
        <v/>
      </c>
      <c r="O346" s="5" t="str">
        <f aca="false">IF(A346="","",M346-N346)</f>
        <v/>
      </c>
    </row>
    <row r="347" customFormat="false" ht="15.75" hidden="false" customHeight="true" outlineLevel="0" collapsed="false">
      <c r="E347" s="3"/>
      <c r="F347" s="4"/>
      <c r="G347" s="5"/>
      <c r="H347" s="5"/>
      <c r="K347" s="6" t="n">
        <f aca="false">I347-J347</f>
        <v>0</v>
      </c>
      <c r="L347" s="5" t="n">
        <f aca="false">K347*H347</f>
        <v>0</v>
      </c>
      <c r="M347" s="5" t="str">
        <f aca="false">IF(A347="","",H347*J347)</f>
        <v/>
      </c>
      <c r="N347" s="5" t="str">
        <f aca="false">IF(A347="","",G347*J347)</f>
        <v/>
      </c>
      <c r="O347" s="5" t="str">
        <f aca="false">IF(A347="","",M347-N347)</f>
        <v/>
      </c>
    </row>
    <row r="348" customFormat="false" ht="15.75" hidden="false" customHeight="true" outlineLevel="0" collapsed="false">
      <c r="E348" s="3"/>
      <c r="F348" s="4"/>
      <c r="G348" s="5"/>
      <c r="H348" s="5"/>
      <c r="K348" s="6" t="n">
        <f aca="false">I348-J348</f>
        <v>0</v>
      </c>
      <c r="L348" s="5" t="n">
        <f aca="false">K348*H348</f>
        <v>0</v>
      </c>
      <c r="M348" s="5" t="str">
        <f aca="false">IF(A348="","",H348*J348)</f>
        <v/>
      </c>
      <c r="N348" s="5" t="str">
        <f aca="false">IF(A348="","",G348*J348)</f>
        <v/>
      </c>
      <c r="O348" s="5" t="str">
        <f aca="false">IF(A348="","",M348-N348)</f>
        <v/>
      </c>
    </row>
    <row r="349" customFormat="false" ht="15.75" hidden="false" customHeight="true" outlineLevel="0" collapsed="false">
      <c r="E349" s="3"/>
      <c r="F349" s="4"/>
      <c r="G349" s="5"/>
      <c r="H349" s="5"/>
      <c r="K349" s="6" t="n">
        <f aca="false">I349-J349</f>
        <v>0</v>
      </c>
      <c r="L349" s="5" t="n">
        <f aca="false">K349*H349</f>
        <v>0</v>
      </c>
      <c r="M349" s="5" t="str">
        <f aca="false">IF(A349="","",H349*J349)</f>
        <v/>
      </c>
      <c r="N349" s="5" t="str">
        <f aca="false">IF(A349="","",G349*J349)</f>
        <v/>
      </c>
      <c r="O349" s="5" t="str">
        <f aca="false">IF(A349="","",M349-N349)</f>
        <v/>
      </c>
    </row>
    <row r="350" customFormat="false" ht="15.75" hidden="false" customHeight="true" outlineLevel="0" collapsed="false">
      <c r="E350" s="3"/>
      <c r="F350" s="4"/>
      <c r="G350" s="5"/>
      <c r="H350" s="5"/>
      <c r="K350" s="6" t="n">
        <f aca="false">I350-J350</f>
        <v>0</v>
      </c>
      <c r="L350" s="5" t="n">
        <f aca="false">K350*H350</f>
        <v>0</v>
      </c>
      <c r="M350" s="5" t="str">
        <f aca="false">IF(A350="","",H350*J350)</f>
        <v/>
      </c>
      <c r="N350" s="5" t="str">
        <f aca="false">IF(A350="","",G350*J350)</f>
        <v/>
      </c>
      <c r="O350" s="5" t="str">
        <f aca="false">IF(A350="","",M350-N350)</f>
        <v/>
      </c>
    </row>
    <row r="351" customFormat="false" ht="15.75" hidden="false" customHeight="true" outlineLevel="0" collapsed="false">
      <c r="E351" s="3"/>
      <c r="F351" s="4"/>
      <c r="G351" s="5"/>
      <c r="H351" s="5"/>
      <c r="K351" s="6" t="n">
        <f aca="false">I351-J351</f>
        <v>0</v>
      </c>
      <c r="L351" s="5" t="n">
        <f aca="false">K351*H351</f>
        <v>0</v>
      </c>
      <c r="M351" s="5" t="str">
        <f aca="false">IF(A351="","",H351*J351)</f>
        <v/>
      </c>
      <c r="N351" s="5" t="str">
        <f aca="false">IF(A351="","",G351*J351)</f>
        <v/>
      </c>
      <c r="O351" s="5" t="str">
        <f aca="false">IF(A351="","",M351-N351)</f>
        <v/>
      </c>
    </row>
    <row r="352" customFormat="false" ht="15.75" hidden="false" customHeight="true" outlineLevel="0" collapsed="false">
      <c r="E352" s="3"/>
      <c r="F352" s="4"/>
      <c r="G352" s="5"/>
      <c r="H352" s="5"/>
      <c r="K352" s="6" t="n">
        <f aca="false">I352-J352</f>
        <v>0</v>
      </c>
      <c r="L352" s="5" t="n">
        <f aca="false">K352*H352</f>
        <v>0</v>
      </c>
      <c r="M352" s="5" t="str">
        <f aca="false">IF(A352="","",H352*J352)</f>
        <v/>
      </c>
      <c r="N352" s="5" t="str">
        <f aca="false">IF(A352="","",G352*J352)</f>
        <v/>
      </c>
      <c r="O352" s="5" t="str">
        <f aca="false">IF(A352="","",M352-N352)</f>
        <v/>
      </c>
    </row>
    <row r="353" customFormat="false" ht="15.75" hidden="false" customHeight="true" outlineLevel="0" collapsed="false">
      <c r="E353" s="3"/>
      <c r="F353" s="4"/>
      <c r="G353" s="5"/>
      <c r="H353" s="5"/>
      <c r="K353" s="6" t="n">
        <f aca="false">I353-J353</f>
        <v>0</v>
      </c>
      <c r="L353" s="5" t="n">
        <f aca="false">K353*H353</f>
        <v>0</v>
      </c>
      <c r="M353" s="5" t="str">
        <f aca="false">IF(A353="","",H353*J353)</f>
        <v/>
      </c>
      <c r="N353" s="5" t="str">
        <f aca="false">IF(A353="","",G353*J353)</f>
        <v/>
      </c>
      <c r="O353" s="5" t="str">
        <f aca="false">IF(A353="","",M353-N353)</f>
        <v/>
      </c>
    </row>
    <row r="354" customFormat="false" ht="15.75" hidden="false" customHeight="true" outlineLevel="0" collapsed="false">
      <c r="E354" s="3"/>
      <c r="F354" s="4"/>
      <c r="G354" s="5"/>
      <c r="H354" s="5"/>
      <c r="K354" s="6" t="n">
        <f aca="false">I354-J354</f>
        <v>0</v>
      </c>
      <c r="L354" s="5" t="n">
        <f aca="false">K354*H354</f>
        <v>0</v>
      </c>
      <c r="M354" s="5" t="str">
        <f aca="false">IF(A354="","",H354*J354)</f>
        <v/>
      </c>
      <c r="N354" s="5" t="str">
        <f aca="false">IF(A354="","",G354*J354)</f>
        <v/>
      </c>
      <c r="O354" s="5" t="str">
        <f aca="false">IF(A354="","",M354-N354)</f>
        <v/>
      </c>
    </row>
    <row r="355" customFormat="false" ht="15.75" hidden="false" customHeight="true" outlineLevel="0" collapsed="false">
      <c r="E355" s="3"/>
      <c r="F355" s="4"/>
      <c r="G355" s="5"/>
      <c r="H355" s="5"/>
      <c r="K355" s="6" t="n">
        <f aca="false">I355-J355</f>
        <v>0</v>
      </c>
      <c r="L355" s="5" t="n">
        <f aca="false">K355*H355</f>
        <v>0</v>
      </c>
      <c r="M355" s="5" t="str">
        <f aca="false">IF(A355="","",H355*J355)</f>
        <v/>
      </c>
      <c r="N355" s="5" t="str">
        <f aca="false">IF(A355="","",G355*J355)</f>
        <v/>
      </c>
      <c r="O355" s="5" t="str">
        <f aca="false">IF(A355="","",M355-N355)</f>
        <v/>
      </c>
    </row>
    <row r="356" customFormat="false" ht="15.75" hidden="false" customHeight="true" outlineLevel="0" collapsed="false">
      <c r="E356" s="3"/>
      <c r="F356" s="4"/>
      <c r="G356" s="5"/>
      <c r="H356" s="5"/>
      <c r="K356" s="6" t="n">
        <f aca="false">I356-J356</f>
        <v>0</v>
      </c>
      <c r="L356" s="5" t="n">
        <f aca="false">K356*H356</f>
        <v>0</v>
      </c>
      <c r="M356" s="5" t="str">
        <f aca="false">IF(A356="","",H356*J356)</f>
        <v/>
      </c>
      <c r="N356" s="5" t="str">
        <f aca="false">IF(A356="","",G356*J356)</f>
        <v/>
      </c>
      <c r="O356" s="5" t="str">
        <f aca="false">IF(A356="","",M356-N356)</f>
        <v/>
      </c>
    </row>
    <row r="357" customFormat="false" ht="15.75" hidden="false" customHeight="true" outlineLevel="0" collapsed="false">
      <c r="E357" s="3"/>
      <c r="F357" s="4"/>
      <c r="G357" s="5"/>
      <c r="H357" s="5"/>
      <c r="K357" s="6" t="n">
        <f aca="false">I357-J357</f>
        <v>0</v>
      </c>
      <c r="L357" s="5" t="n">
        <f aca="false">K357*H357</f>
        <v>0</v>
      </c>
      <c r="M357" s="5" t="str">
        <f aca="false">IF(A357="","",H357*J357)</f>
        <v/>
      </c>
      <c r="N357" s="5" t="str">
        <f aca="false">IF(A357="","",G357*J357)</f>
        <v/>
      </c>
      <c r="O357" s="5" t="str">
        <f aca="false">IF(A357="","",M357-N357)</f>
        <v/>
      </c>
    </row>
    <row r="358" customFormat="false" ht="15.75" hidden="false" customHeight="true" outlineLevel="0" collapsed="false">
      <c r="E358" s="3"/>
      <c r="F358" s="4"/>
      <c r="G358" s="5"/>
      <c r="H358" s="5"/>
      <c r="K358" s="6" t="n">
        <f aca="false">I358-J358</f>
        <v>0</v>
      </c>
      <c r="L358" s="5" t="n">
        <f aca="false">K358*H358</f>
        <v>0</v>
      </c>
      <c r="M358" s="5" t="str">
        <f aca="false">IF(A358="","",H358*J358)</f>
        <v/>
      </c>
      <c r="N358" s="5" t="str">
        <f aca="false">IF(A358="","",G358*J358)</f>
        <v/>
      </c>
      <c r="O358" s="5" t="str">
        <f aca="false">IF(A358="","",M358-N358)</f>
        <v/>
      </c>
    </row>
    <row r="359" customFormat="false" ht="15.75" hidden="false" customHeight="true" outlineLevel="0" collapsed="false">
      <c r="E359" s="3"/>
      <c r="F359" s="4"/>
      <c r="G359" s="5"/>
      <c r="H359" s="5"/>
      <c r="K359" s="6" t="n">
        <f aca="false">I359-J359</f>
        <v>0</v>
      </c>
      <c r="L359" s="5" t="n">
        <f aca="false">K359*H359</f>
        <v>0</v>
      </c>
      <c r="M359" s="5" t="str">
        <f aca="false">IF(A359="","",H359*J359)</f>
        <v/>
      </c>
      <c r="N359" s="5" t="str">
        <f aca="false">IF(A359="","",G359*J359)</f>
        <v/>
      </c>
      <c r="O359" s="5" t="str">
        <f aca="false">IF(A359="","",M359-N359)</f>
        <v/>
      </c>
    </row>
    <row r="360" customFormat="false" ht="15.75" hidden="false" customHeight="true" outlineLevel="0" collapsed="false">
      <c r="E360" s="3"/>
      <c r="F360" s="4"/>
      <c r="G360" s="5"/>
      <c r="H360" s="5"/>
      <c r="K360" s="6" t="n">
        <f aca="false">I360-J360</f>
        <v>0</v>
      </c>
      <c r="L360" s="5" t="n">
        <f aca="false">K360*H360</f>
        <v>0</v>
      </c>
      <c r="M360" s="5" t="str">
        <f aca="false">IF(A360="","",H360*J360)</f>
        <v/>
      </c>
      <c r="N360" s="5" t="str">
        <f aca="false">IF(A360="","",G360*J360)</f>
        <v/>
      </c>
      <c r="O360" s="5" t="str">
        <f aca="false">IF(A360="","",M360-N360)</f>
        <v/>
      </c>
    </row>
    <row r="361" customFormat="false" ht="15.75" hidden="false" customHeight="true" outlineLevel="0" collapsed="false">
      <c r="E361" s="3"/>
      <c r="F361" s="4"/>
      <c r="G361" s="5"/>
      <c r="H361" s="5"/>
      <c r="K361" s="6" t="n">
        <f aca="false">I361-J361</f>
        <v>0</v>
      </c>
      <c r="L361" s="5" t="n">
        <f aca="false">K361*H361</f>
        <v>0</v>
      </c>
      <c r="M361" s="5" t="str">
        <f aca="false">IF(A361="","",H361*J361)</f>
        <v/>
      </c>
      <c r="N361" s="5" t="str">
        <f aca="false">IF(A361="","",G361*J361)</f>
        <v/>
      </c>
      <c r="O361" s="5" t="str">
        <f aca="false">IF(A361="","",M361-N361)</f>
        <v/>
      </c>
    </row>
    <row r="362" customFormat="false" ht="15.75" hidden="false" customHeight="true" outlineLevel="0" collapsed="false">
      <c r="E362" s="3"/>
      <c r="F362" s="4"/>
      <c r="G362" s="5"/>
      <c r="H362" s="5"/>
      <c r="K362" s="6" t="n">
        <f aca="false">I362-J362</f>
        <v>0</v>
      </c>
      <c r="L362" s="5" t="n">
        <f aca="false">K362*H362</f>
        <v>0</v>
      </c>
      <c r="M362" s="5" t="str">
        <f aca="false">IF(A362="","",H362*J362)</f>
        <v/>
      </c>
      <c r="N362" s="5" t="str">
        <f aca="false">IF(A362="","",G362*J362)</f>
        <v/>
      </c>
      <c r="O362" s="5" t="str">
        <f aca="false">IF(A362="","",M362-N362)</f>
        <v/>
      </c>
    </row>
    <row r="363" customFormat="false" ht="15.75" hidden="false" customHeight="true" outlineLevel="0" collapsed="false">
      <c r="E363" s="3"/>
      <c r="F363" s="4"/>
      <c r="G363" s="5"/>
      <c r="H363" s="5"/>
      <c r="K363" s="6" t="n">
        <f aca="false">I363-J363</f>
        <v>0</v>
      </c>
      <c r="L363" s="5" t="n">
        <f aca="false">K363*H363</f>
        <v>0</v>
      </c>
      <c r="M363" s="5" t="str">
        <f aca="false">IF(A363="","",H363*J363)</f>
        <v/>
      </c>
      <c r="N363" s="5" t="str">
        <f aca="false">IF(A363="","",G363*J363)</f>
        <v/>
      </c>
      <c r="O363" s="5" t="str">
        <f aca="false">IF(A363="","",M363-N363)</f>
        <v/>
      </c>
    </row>
    <row r="364" customFormat="false" ht="15.75" hidden="false" customHeight="true" outlineLevel="0" collapsed="false">
      <c r="E364" s="3"/>
      <c r="F364" s="4"/>
      <c r="G364" s="5"/>
      <c r="H364" s="5"/>
      <c r="K364" s="6" t="n">
        <f aca="false">I364-J364</f>
        <v>0</v>
      </c>
      <c r="L364" s="5" t="n">
        <f aca="false">K364*H364</f>
        <v>0</v>
      </c>
      <c r="M364" s="5" t="str">
        <f aca="false">IF(A364="","",H364*J364)</f>
        <v/>
      </c>
      <c r="N364" s="5" t="str">
        <f aca="false">IF(A364="","",G364*J364)</f>
        <v/>
      </c>
      <c r="O364" s="5" t="str">
        <f aca="false">IF(A364="","",M364-N364)</f>
        <v/>
      </c>
    </row>
    <row r="365" customFormat="false" ht="15.75" hidden="false" customHeight="true" outlineLevel="0" collapsed="false">
      <c r="E365" s="3"/>
      <c r="F365" s="4"/>
      <c r="G365" s="5"/>
      <c r="H365" s="5"/>
      <c r="K365" s="6" t="n">
        <f aca="false">I365-J365</f>
        <v>0</v>
      </c>
      <c r="L365" s="5" t="n">
        <f aca="false">K365*H365</f>
        <v>0</v>
      </c>
      <c r="M365" s="5" t="str">
        <f aca="false">IF(A365="","",H365*J365)</f>
        <v/>
      </c>
      <c r="N365" s="5" t="str">
        <f aca="false">IF(A365="","",G365*J365)</f>
        <v/>
      </c>
      <c r="O365" s="5" t="str">
        <f aca="false">IF(A365="","",M365-N365)</f>
        <v/>
      </c>
    </row>
    <row r="366" customFormat="false" ht="15.75" hidden="false" customHeight="true" outlineLevel="0" collapsed="false">
      <c r="E366" s="3"/>
      <c r="F366" s="4"/>
      <c r="G366" s="5"/>
      <c r="H366" s="5"/>
      <c r="K366" s="6" t="n">
        <f aca="false">I366-J366</f>
        <v>0</v>
      </c>
      <c r="L366" s="5" t="n">
        <f aca="false">K366*H366</f>
        <v>0</v>
      </c>
      <c r="M366" s="5" t="str">
        <f aca="false">IF(A366="","",H366*J366)</f>
        <v/>
      </c>
      <c r="N366" s="5" t="str">
        <f aca="false">IF(A366="","",G366*J366)</f>
        <v/>
      </c>
      <c r="O366" s="5" t="str">
        <f aca="false">IF(A366="","",M366-N366)</f>
        <v/>
      </c>
    </row>
    <row r="367" customFormat="false" ht="15.75" hidden="false" customHeight="true" outlineLevel="0" collapsed="false">
      <c r="E367" s="3"/>
      <c r="F367" s="4"/>
      <c r="G367" s="5"/>
      <c r="H367" s="5"/>
      <c r="K367" s="6" t="n">
        <f aca="false">I367-J367</f>
        <v>0</v>
      </c>
      <c r="L367" s="5" t="n">
        <f aca="false">K367*H367</f>
        <v>0</v>
      </c>
      <c r="M367" s="5" t="str">
        <f aca="false">IF(A367="","",H367*J367)</f>
        <v/>
      </c>
      <c r="N367" s="5" t="str">
        <f aca="false">IF(A367="","",G367*J367)</f>
        <v/>
      </c>
      <c r="O367" s="5" t="str">
        <f aca="false">IF(A367="","",M367-N367)</f>
        <v/>
      </c>
    </row>
    <row r="368" customFormat="false" ht="15.75" hidden="false" customHeight="true" outlineLevel="0" collapsed="false">
      <c r="E368" s="3"/>
      <c r="F368" s="4"/>
      <c r="G368" s="5"/>
      <c r="H368" s="5"/>
      <c r="K368" s="6" t="n">
        <f aca="false">I368-J368</f>
        <v>0</v>
      </c>
      <c r="L368" s="5" t="n">
        <f aca="false">K368*H368</f>
        <v>0</v>
      </c>
      <c r="M368" s="5" t="str">
        <f aca="false">IF(A368="","",H368*J368)</f>
        <v/>
      </c>
      <c r="N368" s="5" t="str">
        <f aca="false">IF(A368="","",G368*J368)</f>
        <v/>
      </c>
      <c r="O368" s="5" t="str">
        <f aca="false">IF(A368="","",M368-N368)</f>
        <v/>
      </c>
    </row>
    <row r="369" customFormat="false" ht="15.75" hidden="false" customHeight="true" outlineLevel="0" collapsed="false">
      <c r="E369" s="3"/>
      <c r="F369" s="4"/>
      <c r="G369" s="5"/>
      <c r="H369" s="5"/>
      <c r="K369" s="6" t="n">
        <f aca="false">I369-J369</f>
        <v>0</v>
      </c>
      <c r="L369" s="5" t="n">
        <f aca="false">K369*H369</f>
        <v>0</v>
      </c>
      <c r="M369" s="5" t="str">
        <f aca="false">IF(A369="","",H369*J369)</f>
        <v/>
      </c>
      <c r="N369" s="5" t="str">
        <f aca="false">IF(A369="","",G369*J369)</f>
        <v/>
      </c>
      <c r="O369" s="5" t="str">
        <f aca="false">IF(A369="","",M369-N369)</f>
        <v/>
      </c>
    </row>
    <row r="370" customFormat="false" ht="15.75" hidden="false" customHeight="true" outlineLevel="0" collapsed="false">
      <c r="E370" s="3"/>
      <c r="F370" s="4"/>
      <c r="G370" s="5"/>
      <c r="H370" s="5"/>
      <c r="K370" s="6" t="n">
        <f aca="false">I370-J370</f>
        <v>0</v>
      </c>
      <c r="L370" s="5" t="n">
        <f aca="false">K370*H370</f>
        <v>0</v>
      </c>
      <c r="M370" s="5" t="str">
        <f aca="false">IF(A370="","",H370*J370)</f>
        <v/>
      </c>
      <c r="N370" s="5" t="str">
        <f aca="false">IF(A370="","",G370*J370)</f>
        <v/>
      </c>
      <c r="O370" s="5" t="str">
        <f aca="false">IF(A370="","",M370-N370)</f>
        <v/>
      </c>
    </row>
    <row r="371" customFormat="false" ht="15.75" hidden="false" customHeight="true" outlineLevel="0" collapsed="false">
      <c r="E371" s="3"/>
      <c r="F371" s="4"/>
      <c r="G371" s="5"/>
      <c r="H371" s="5"/>
      <c r="K371" s="6" t="n">
        <f aca="false">I371-J371</f>
        <v>0</v>
      </c>
      <c r="L371" s="5" t="n">
        <f aca="false">K371*H371</f>
        <v>0</v>
      </c>
      <c r="M371" s="5" t="str">
        <f aca="false">IF(A371="","",H371*J371)</f>
        <v/>
      </c>
      <c r="N371" s="5" t="str">
        <f aca="false">IF(A371="","",G371*J371)</f>
        <v/>
      </c>
      <c r="O371" s="5" t="str">
        <f aca="false">IF(A371="","",M371-N371)</f>
        <v/>
      </c>
    </row>
    <row r="372" customFormat="false" ht="15.75" hidden="false" customHeight="true" outlineLevel="0" collapsed="false">
      <c r="E372" s="3"/>
      <c r="F372" s="4"/>
      <c r="G372" s="5"/>
      <c r="H372" s="5"/>
      <c r="K372" s="6" t="n">
        <f aca="false">I372-J372</f>
        <v>0</v>
      </c>
      <c r="L372" s="5" t="n">
        <f aca="false">K372*H372</f>
        <v>0</v>
      </c>
      <c r="M372" s="5" t="str">
        <f aca="false">IF(A372="","",H372*J372)</f>
        <v/>
      </c>
      <c r="N372" s="5" t="str">
        <f aca="false">IF(A372="","",G372*J372)</f>
        <v/>
      </c>
      <c r="O372" s="5" t="str">
        <f aca="false">IF(A372="","",M372-N372)</f>
        <v/>
      </c>
    </row>
    <row r="373" customFormat="false" ht="15.75" hidden="false" customHeight="true" outlineLevel="0" collapsed="false">
      <c r="E373" s="3"/>
      <c r="F373" s="4"/>
      <c r="G373" s="5"/>
      <c r="H373" s="5"/>
      <c r="K373" s="6" t="n">
        <f aca="false">I373-J373</f>
        <v>0</v>
      </c>
      <c r="L373" s="5" t="n">
        <f aca="false">K373*H373</f>
        <v>0</v>
      </c>
      <c r="M373" s="5" t="str">
        <f aca="false">IF(A373="","",H373*J373)</f>
        <v/>
      </c>
      <c r="N373" s="5" t="str">
        <f aca="false">IF(A373="","",G373*J373)</f>
        <v/>
      </c>
      <c r="O373" s="5" t="str">
        <f aca="false">IF(A373="","",M373-N373)</f>
        <v/>
      </c>
    </row>
    <row r="374" customFormat="false" ht="15.75" hidden="false" customHeight="true" outlineLevel="0" collapsed="false">
      <c r="E374" s="3"/>
      <c r="F374" s="4"/>
      <c r="G374" s="5"/>
      <c r="H374" s="5"/>
      <c r="K374" s="6" t="n">
        <f aca="false">I374-J374</f>
        <v>0</v>
      </c>
      <c r="L374" s="5" t="n">
        <f aca="false">K374*H374</f>
        <v>0</v>
      </c>
      <c r="M374" s="5" t="str">
        <f aca="false">IF(A374="","",H374*J374)</f>
        <v/>
      </c>
      <c r="N374" s="5" t="str">
        <f aca="false">IF(A374="","",G374*J374)</f>
        <v/>
      </c>
      <c r="O374" s="5" t="str">
        <f aca="false">IF(A374="","",M374-N374)</f>
        <v/>
      </c>
    </row>
    <row r="375" customFormat="false" ht="15.75" hidden="false" customHeight="true" outlineLevel="0" collapsed="false">
      <c r="E375" s="3"/>
      <c r="F375" s="4"/>
      <c r="G375" s="5"/>
      <c r="H375" s="5"/>
      <c r="K375" s="6" t="n">
        <f aca="false">I375-J375</f>
        <v>0</v>
      </c>
      <c r="L375" s="5" t="n">
        <f aca="false">K375*H375</f>
        <v>0</v>
      </c>
      <c r="M375" s="5" t="str">
        <f aca="false">IF(A375="","",H375*J375)</f>
        <v/>
      </c>
      <c r="N375" s="5" t="str">
        <f aca="false">IF(A375="","",G375*J375)</f>
        <v/>
      </c>
      <c r="O375" s="5" t="str">
        <f aca="false">IF(A375="","",M375-N375)</f>
        <v/>
      </c>
    </row>
    <row r="376" customFormat="false" ht="15.75" hidden="false" customHeight="true" outlineLevel="0" collapsed="false">
      <c r="E376" s="3"/>
      <c r="F376" s="4"/>
      <c r="G376" s="5"/>
      <c r="H376" s="5"/>
      <c r="K376" s="6" t="n">
        <f aca="false">I376-J376</f>
        <v>0</v>
      </c>
      <c r="L376" s="5" t="n">
        <f aca="false">K376*H376</f>
        <v>0</v>
      </c>
      <c r="M376" s="5" t="str">
        <f aca="false">IF(A376="","",H376*J376)</f>
        <v/>
      </c>
      <c r="N376" s="5" t="str">
        <f aca="false">IF(A376="","",G376*J376)</f>
        <v/>
      </c>
      <c r="O376" s="5" t="str">
        <f aca="false">IF(A376="","",M376-N376)</f>
        <v/>
      </c>
    </row>
    <row r="377" customFormat="false" ht="15.75" hidden="false" customHeight="true" outlineLevel="0" collapsed="false">
      <c r="E377" s="3"/>
      <c r="F377" s="4"/>
      <c r="G377" s="5"/>
      <c r="H377" s="5"/>
      <c r="K377" s="6" t="n">
        <f aca="false">I377-J377</f>
        <v>0</v>
      </c>
      <c r="L377" s="5" t="n">
        <f aca="false">K377*H377</f>
        <v>0</v>
      </c>
      <c r="M377" s="5" t="str">
        <f aca="false">IF(A377="","",H377*J377)</f>
        <v/>
      </c>
      <c r="N377" s="5" t="str">
        <f aca="false">IF(A377="","",G377*J377)</f>
        <v/>
      </c>
      <c r="O377" s="5" t="str">
        <f aca="false">IF(A377="","",M377-N377)</f>
        <v/>
      </c>
    </row>
    <row r="378" customFormat="false" ht="15.75" hidden="false" customHeight="true" outlineLevel="0" collapsed="false">
      <c r="E378" s="3"/>
      <c r="F378" s="4"/>
      <c r="G378" s="5"/>
      <c r="H378" s="5"/>
      <c r="K378" s="6" t="n">
        <f aca="false">I378-J378</f>
        <v>0</v>
      </c>
      <c r="L378" s="5" t="n">
        <f aca="false">K378*H378</f>
        <v>0</v>
      </c>
      <c r="M378" s="5" t="str">
        <f aca="false">IF(A378="","",H378*J378)</f>
        <v/>
      </c>
      <c r="N378" s="5" t="str">
        <f aca="false">IF(A378="","",G378*J378)</f>
        <v/>
      </c>
      <c r="O378" s="5" t="str">
        <f aca="false">IF(A378="","",M378-N378)</f>
        <v/>
      </c>
    </row>
    <row r="379" customFormat="false" ht="15.75" hidden="false" customHeight="true" outlineLevel="0" collapsed="false">
      <c r="E379" s="3"/>
      <c r="F379" s="4"/>
      <c r="G379" s="5"/>
      <c r="H379" s="5"/>
      <c r="K379" s="6" t="n">
        <f aca="false">I379-J379</f>
        <v>0</v>
      </c>
      <c r="L379" s="5" t="n">
        <f aca="false">K379*H379</f>
        <v>0</v>
      </c>
      <c r="M379" s="5" t="str">
        <f aca="false">IF(A379="","",H379*J379)</f>
        <v/>
      </c>
      <c r="N379" s="5" t="str">
        <f aca="false">IF(A379="","",G379*J379)</f>
        <v/>
      </c>
      <c r="O379" s="5" t="str">
        <f aca="false">IF(A379="","",M379-N379)</f>
        <v/>
      </c>
    </row>
    <row r="380" customFormat="false" ht="15.75" hidden="false" customHeight="true" outlineLevel="0" collapsed="false">
      <c r="E380" s="3"/>
      <c r="F380" s="4"/>
      <c r="G380" s="5"/>
      <c r="H380" s="5"/>
      <c r="K380" s="6" t="n">
        <f aca="false">I380-J380</f>
        <v>0</v>
      </c>
      <c r="L380" s="5" t="n">
        <f aca="false">K380*H380</f>
        <v>0</v>
      </c>
      <c r="M380" s="5" t="str">
        <f aca="false">IF(A380="","",H380*J380)</f>
        <v/>
      </c>
      <c r="N380" s="5" t="str">
        <f aca="false">IF(A380="","",G380*J380)</f>
        <v/>
      </c>
      <c r="O380" s="5" t="str">
        <f aca="false">IF(A380="","",M380-N380)</f>
        <v/>
      </c>
    </row>
    <row r="381" customFormat="false" ht="15.75" hidden="false" customHeight="true" outlineLevel="0" collapsed="false">
      <c r="E381" s="3"/>
      <c r="F381" s="4"/>
      <c r="G381" s="5"/>
      <c r="H381" s="5"/>
      <c r="K381" s="6" t="n">
        <f aca="false">I381-J381</f>
        <v>0</v>
      </c>
      <c r="L381" s="5" t="n">
        <f aca="false">K381*H381</f>
        <v>0</v>
      </c>
      <c r="M381" s="5" t="str">
        <f aca="false">IF(A381="","",H381*J381)</f>
        <v/>
      </c>
      <c r="N381" s="5" t="str">
        <f aca="false">IF(A381="","",G381*J381)</f>
        <v/>
      </c>
      <c r="O381" s="5" t="str">
        <f aca="false">IF(A381="","",M381-N381)</f>
        <v/>
      </c>
    </row>
    <row r="382" customFormat="false" ht="15.75" hidden="false" customHeight="true" outlineLevel="0" collapsed="false">
      <c r="E382" s="3"/>
      <c r="F382" s="4"/>
      <c r="G382" s="5"/>
      <c r="H382" s="5"/>
      <c r="K382" s="6" t="n">
        <f aca="false">I382-J382</f>
        <v>0</v>
      </c>
      <c r="L382" s="5" t="n">
        <f aca="false">K382*H382</f>
        <v>0</v>
      </c>
      <c r="M382" s="5" t="str">
        <f aca="false">IF(A382="","",H382*J382)</f>
        <v/>
      </c>
      <c r="N382" s="5" t="str">
        <f aca="false">IF(A382="","",G382*J382)</f>
        <v/>
      </c>
      <c r="O382" s="5" t="str">
        <f aca="false">IF(A382="","",M382-N382)</f>
        <v/>
      </c>
    </row>
    <row r="383" customFormat="false" ht="15.75" hidden="false" customHeight="true" outlineLevel="0" collapsed="false">
      <c r="E383" s="3"/>
      <c r="F383" s="4"/>
      <c r="G383" s="5"/>
      <c r="H383" s="5"/>
      <c r="K383" s="6" t="n">
        <f aca="false">I383-J383</f>
        <v>0</v>
      </c>
      <c r="L383" s="5" t="n">
        <f aca="false">K383*H383</f>
        <v>0</v>
      </c>
      <c r="M383" s="5" t="str">
        <f aca="false">IF(A383="","",H383*J383)</f>
        <v/>
      </c>
      <c r="N383" s="5" t="str">
        <f aca="false">IF(A383="","",G383*J383)</f>
        <v/>
      </c>
      <c r="O383" s="5" t="str">
        <f aca="false">IF(A383="","",M383-N383)</f>
        <v/>
      </c>
    </row>
    <row r="384" customFormat="false" ht="15.75" hidden="false" customHeight="true" outlineLevel="0" collapsed="false">
      <c r="E384" s="3"/>
      <c r="F384" s="4"/>
      <c r="G384" s="5"/>
      <c r="H384" s="5"/>
      <c r="K384" s="6" t="n">
        <f aca="false">I384-J384</f>
        <v>0</v>
      </c>
      <c r="L384" s="5" t="n">
        <f aca="false">K384*H384</f>
        <v>0</v>
      </c>
      <c r="M384" s="5" t="str">
        <f aca="false">IF(A384="","",H384*J384)</f>
        <v/>
      </c>
      <c r="N384" s="5" t="str">
        <f aca="false">IF(A384="","",G384*J384)</f>
        <v/>
      </c>
      <c r="O384" s="5" t="str">
        <f aca="false">IF(A384="","",M384-N384)</f>
        <v/>
      </c>
    </row>
    <row r="385" customFormat="false" ht="15.75" hidden="false" customHeight="true" outlineLevel="0" collapsed="false">
      <c r="E385" s="3"/>
      <c r="F385" s="4"/>
      <c r="G385" s="5"/>
      <c r="H385" s="5"/>
      <c r="K385" s="6" t="n">
        <f aca="false">I385-J385</f>
        <v>0</v>
      </c>
      <c r="L385" s="5" t="n">
        <f aca="false">K385*H385</f>
        <v>0</v>
      </c>
      <c r="M385" s="5" t="str">
        <f aca="false">IF(A385="","",H385*J385)</f>
        <v/>
      </c>
      <c r="N385" s="5" t="str">
        <f aca="false">IF(A385="","",G385*J385)</f>
        <v/>
      </c>
      <c r="O385" s="5" t="str">
        <f aca="false">IF(A385="","",M385-N385)</f>
        <v/>
      </c>
    </row>
    <row r="386" customFormat="false" ht="15.75" hidden="false" customHeight="true" outlineLevel="0" collapsed="false">
      <c r="E386" s="3"/>
      <c r="F386" s="4"/>
      <c r="G386" s="5"/>
      <c r="H386" s="5"/>
      <c r="K386" s="6" t="n">
        <f aca="false">I386-J386</f>
        <v>0</v>
      </c>
      <c r="L386" s="5" t="n">
        <f aca="false">K386*H386</f>
        <v>0</v>
      </c>
      <c r="M386" s="5" t="str">
        <f aca="false">IF(A386="","",H386*J386)</f>
        <v/>
      </c>
      <c r="N386" s="5" t="str">
        <f aca="false">IF(A386="","",G386*J386)</f>
        <v/>
      </c>
      <c r="O386" s="5" t="str">
        <f aca="false">IF(A386="","",M386-N386)</f>
        <v/>
      </c>
    </row>
    <row r="387" customFormat="false" ht="15.75" hidden="false" customHeight="true" outlineLevel="0" collapsed="false">
      <c r="E387" s="3"/>
      <c r="F387" s="4"/>
      <c r="G387" s="5"/>
      <c r="H387" s="5"/>
      <c r="K387" s="6" t="n">
        <f aca="false">I387-J387</f>
        <v>0</v>
      </c>
      <c r="L387" s="5" t="n">
        <f aca="false">K387*H387</f>
        <v>0</v>
      </c>
      <c r="M387" s="5" t="str">
        <f aca="false">IF(A387="","",H387*J387)</f>
        <v/>
      </c>
      <c r="N387" s="5" t="str">
        <f aca="false">IF(A387="","",G387*J387)</f>
        <v/>
      </c>
      <c r="O387" s="5" t="str">
        <f aca="false">IF(A387="","",M387-N387)</f>
        <v/>
      </c>
    </row>
    <row r="388" customFormat="false" ht="15.75" hidden="false" customHeight="true" outlineLevel="0" collapsed="false">
      <c r="E388" s="3"/>
      <c r="F388" s="4"/>
      <c r="G388" s="5"/>
      <c r="H388" s="5"/>
      <c r="K388" s="6" t="n">
        <f aca="false">I388-J388</f>
        <v>0</v>
      </c>
      <c r="L388" s="5" t="n">
        <f aca="false">K388*H388</f>
        <v>0</v>
      </c>
      <c r="M388" s="5" t="str">
        <f aca="false">IF(A388="","",H388*J388)</f>
        <v/>
      </c>
      <c r="N388" s="5" t="str">
        <f aca="false">IF(A388="","",G388*J388)</f>
        <v/>
      </c>
      <c r="O388" s="5" t="str">
        <f aca="false">IF(A388="","",M388-N388)</f>
        <v/>
      </c>
    </row>
    <row r="389" customFormat="false" ht="15.75" hidden="false" customHeight="true" outlineLevel="0" collapsed="false">
      <c r="E389" s="3"/>
      <c r="F389" s="4"/>
      <c r="G389" s="5"/>
      <c r="H389" s="5"/>
      <c r="K389" s="6" t="n">
        <f aca="false">I389-J389</f>
        <v>0</v>
      </c>
      <c r="L389" s="5" t="n">
        <f aca="false">K389*H389</f>
        <v>0</v>
      </c>
      <c r="M389" s="5" t="str">
        <f aca="false">IF(A389="","",H389*J389)</f>
        <v/>
      </c>
      <c r="N389" s="5" t="str">
        <f aca="false">IF(A389="","",G389*J389)</f>
        <v/>
      </c>
      <c r="O389" s="5" t="str">
        <f aca="false">IF(A389="","",M389-N389)</f>
        <v/>
      </c>
    </row>
    <row r="390" customFormat="false" ht="15.75" hidden="false" customHeight="true" outlineLevel="0" collapsed="false">
      <c r="E390" s="3"/>
      <c r="F390" s="4"/>
      <c r="G390" s="5"/>
      <c r="H390" s="5"/>
      <c r="K390" s="6" t="n">
        <f aca="false">I390-J390</f>
        <v>0</v>
      </c>
      <c r="L390" s="5" t="n">
        <f aca="false">K390*H390</f>
        <v>0</v>
      </c>
      <c r="M390" s="5" t="str">
        <f aca="false">IF(A390="","",H390*J390)</f>
        <v/>
      </c>
      <c r="N390" s="5" t="str">
        <f aca="false">IF(A390="","",G390*J390)</f>
        <v/>
      </c>
      <c r="O390" s="5" t="str">
        <f aca="false">IF(A390="","",M390-N390)</f>
        <v/>
      </c>
    </row>
    <row r="391" customFormat="false" ht="15.75" hidden="false" customHeight="true" outlineLevel="0" collapsed="false">
      <c r="E391" s="3"/>
      <c r="F391" s="4"/>
      <c r="G391" s="5"/>
      <c r="H391" s="5"/>
      <c r="K391" s="6" t="n">
        <f aca="false">I391-J391</f>
        <v>0</v>
      </c>
      <c r="L391" s="5" t="n">
        <f aca="false">K391*H391</f>
        <v>0</v>
      </c>
      <c r="M391" s="5" t="str">
        <f aca="false">IF(A391="","",H391*J391)</f>
        <v/>
      </c>
      <c r="N391" s="5" t="str">
        <f aca="false">IF(A391="","",G391*J391)</f>
        <v/>
      </c>
      <c r="O391" s="5" t="str">
        <f aca="false">IF(A391="","",M391-N391)</f>
        <v/>
      </c>
    </row>
    <row r="392" customFormat="false" ht="15.75" hidden="false" customHeight="true" outlineLevel="0" collapsed="false">
      <c r="E392" s="3"/>
      <c r="F392" s="4"/>
      <c r="G392" s="5"/>
      <c r="H392" s="5"/>
      <c r="K392" s="6" t="n">
        <f aca="false">I392-J392</f>
        <v>0</v>
      </c>
      <c r="L392" s="5" t="n">
        <f aca="false">K392*H392</f>
        <v>0</v>
      </c>
      <c r="M392" s="5" t="str">
        <f aca="false">IF(A392="","",H392*J392)</f>
        <v/>
      </c>
      <c r="N392" s="5" t="str">
        <f aca="false">IF(A392="","",G392*J392)</f>
        <v/>
      </c>
      <c r="O392" s="5" t="str">
        <f aca="false">IF(A392="","",M392-N392)</f>
        <v/>
      </c>
    </row>
    <row r="393" customFormat="false" ht="15.75" hidden="false" customHeight="true" outlineLevel="0" collapsed="false">
      <c r="E393" s="3"/>
      <c r="F393" s="4"/>
      <c r="G393" s="5"/>
      <c r="H393" s="5"/>
      <c r="K393" s="6" t="n">
        <f aca="false">I393-J393</f>
        <v>0</v>
      </c>
      <c r="L393" s="5" t="n">
        <f aca="false">K393*H393</f>
        <v>0</v>
      </c>
      <c r="M393" s="5" t="str">
        <f aca="false">IF(A393="","",H393*J393)</f>
        <v/>
      </c>
      <c r="N393" s="5" t="str">
        <f aca="false">IF(A393="","",G393*J393)</f>
        <v/>
      </c>
      <c r="O393" s="5" t="str">
        <f aca="false">IF(A393="","",M393-N393)</f>
        <v/>
      </c>
    </row>
    <row r="394" customFormat="false" ht="15.75" hidden="false" customHeight="true" outlineLevel="0" collapsed="false">
      <c r="E394" s="3"/>
      <c r="F394" s="4"/>
      <c r="G394" s="5"/>
      <c r="H394" s="5"/>
      <c r="K394" s="6" t="n">
        <f aca="false">I394-J394</f>
        <v>0</v>
      </c>
      <c r="L394" s="5" t="n">
        <f aca="false">K394*H394</f>
        <v>0</v>
      </c>
      <c r="M394" s="5" t="str">
        <f aca="false">IF(A394="","",H394*J394)</f>
        <v/>
      </c>
      <c r="N394" s="5" t="str">
        <f aca="false">IF(A394="","",G394*J394)</f>
        <v/>
      </c>
      <c r="O394" s="5" t="str">
        <f aca="false">IF(A394="","",M394-N394)</f>
        <v/>
      </c>
    </row>
    <row r="395" customFormat="false" ht="15.75" hidden="false" customHeight="true" outlineLevel="0" collapsed="false">
      <c r="E395" s="3"/>
      <c r="F395" s="4"/>
      <c r="G395" s="5"/>
      <c r="H395" s="5"/>
      <c r="K395" s="6" t="n">
        <f aca="false">I395-J395</f>
        <v>0</v>
      </c>
      <c r="L395" s="5" t="n">
        <f aca="false">K395*H395</f>
        <v>0</v>
      </c>
      <c r="M395" s="5" t="str">
        <f aca="false">IF(A395="","",H395*J395)</f>
        <v/>
      </c>
      <c r="N395" s="5" t="str">
        <f aca="false">IF(A395="","",G395*J395)</f>
        <v/>
      </c>
      <c r="O395" s="5" t="str">
        <f aca="false">IF(A395="","",M395-N395)</f>
        <v/>
      </c>
    </row>
    <row r="396" customFormat="false" ht="15.75" hidden="false" customHeight="true" outlineLevel="0" collapsed="false">
      <c r="E396" s="3"/>
      <c r="F396" s="4"/>
      <c r="G396" s="5"/>
      <c r="H396" s="5"/>
      <c r="K396" s="6" t="n">
        <f aca="false">I396-J396</f>
        <v>0</v>
      </c>
      <c r="L396" s="5" t="n">
        <f aca="false">K396*H396</f>
        <v>0</v>
      </c>
      <c r="M396" s="5" t="str">
        <f aca="false">IF(A396="","",H396*J396)</f>
        <v/>
      </c>
      <c r="N396" s="5" t="str">
        <f aca="false">IF(A396="","",G396*J396)</f>
        <v/>
      </c>
      <c r="O396" s="5" t="str">
        <f aca="false">IF(A396="","",M396-N396)</f>
        <v/>
      </c>
    </row>
    <row r="397" customFormat="false" ht="15.75" hidden="false" customHeight="true" outlineLevel="0" collapsed="false">
      <c r="E397" s="3"/>
      <c r="F397" s="4"/>
      <c r="G397" s="5"/>
      <c r="H397" s="5"/>
      <c r="K397" s="6" t="n">
        <f aca="false">I397-J397</f>
        <v>0</v>
      </c>
      <c r="L397" s="5" t="n">
        <f aca="false">K397*H397</f>
        <v>0</v>
      </c>
      <c r="M397" s="5" t="str">
        <f aca="false">IF(A397="","",H397*J397)</f>
        <v/>
      </c>
      <c r="N397" s="5" t="str">
        <f aca="false">IF(A397="","",G397*J397)</f>
        <v/>
      </c>
      <c r="O397" s="5" t="str">
        <f aca="false">IF(A397="","",M397-N397)</f>
        <v/>
      </c>
    </row>
    <row r="398" customFormat="false" ht="15.75" hidden="false" customHeight="true" outlineLevel="0" collapsed="false">
      <c r="E398" s="3"/>
      <c r="F398" s="4"/>
      <c r="G398" s="5"/>
      <c r="H398" s="5"/>
      <c r="K398" s="6" t="n">
        <f aca="false">I398-J398</f>
        <v>0</v>
      </c>
      <c r="L398" s="5" t="n">
        <f aca="false">K398*H398</f>
        <v>0</v>
      </c>
      <c r="M398" s="5" t="str">
        <f aca="false">IF(A398="","",H398*J398)</f>
        <v/>
      </c>
      <c r="N398" s="5" t="str">
        <f aca="false">IF(A398="","",G398*J398)</f>
        <v/>
      </c>
      <c r="O398" s="5" t="str">
        <f aca="false">IF(A398="","",M398-N398)</f>
        <v/>
      </c>
    </row>
    <row r="399" customFormat="false" ht="15.75" hidden="false" customHeight="true" outlineLevel="0" collapsed="false">
      <c r="E399" s="3"/>
      <c r="F399" s="4"/>
      <c r="G399" s="5"/>
      <c r="H399" s="5"/>
      <c r="K399" s="6" t="n">
        <f aca="false">I399-J399</f>
        <v>0</v>
      </c>
      <c r="L399" s="5" t="n">
        <f aca="false">K399*H399</f>
        <v>0</v>
      </c>
      <c r="M399" s="5" t="str">
        <f aca="false">IF(A399="","",H399*J399)</f>
        <v/>
      </c>
      <c r="N399" s="5" t="str">
        <f aca="false">IF(A399="","",G399*J399)</f>
        <v/>
      </c>
      <c r="O399" s="5" t="str">
        <f aca="false">IF(A399="","",M399-N399)</f>
        <v/>
      </c>
    </row>
    <row r="400" customFormat="false" ht="15.75" hidden="false" customHeight="true" outlineLevel="0" collapsed="false">
      <c r="E400" s="3"/>
      <c r="F400" s="4"/>
      <c r="G400" s="5"/>
      <c r="H400" s="5"/>
      <c r="K400" s="6" t="n">
        <f aca="false">I400-J400</f>
        <v>0</v>
      </c>
      <c r="L400" s="5" t="n">
        <f aca="false">K400*H400</f>
        <v>0</v>
      </c>
      <c r="M400" s="5" t="str">
        <f aca="false">IF(A400="","",H400*J400)</f>
        <v/>
      </c>
      <c r="N400" s="5" t="str">
        <f aca="false">IF(A400="","",G400*J400)</f>
        <v/>
      </c>
      <c r="O400" s="5" t="str">
        <f aca="false">IF(A400="","",M400-N400)</f>
        <v/>
      </c>
    </row>
    <row r="401" customFormat="false" ht="15.75" hidden="false" customHeight="true" outlineLevel="0" collapsed="false">
      <c r="E401" s="3"/>
      <c r="F401" s="4"/>
      <c r="G401" s="5"/>
      <c r="H401" s="5"/>
      <c r="K401" s="6" t="n">
        <f aca="false">I401-J401</f>
        <v>0</v>
      </c>
      <c r="L401" s="5" t="n">
        <f aca="false">K401*H401</f>
        <v>0</v>
      </c>
      <c r="M401" s="5" t="str">
        <f aca="false">IF(A401="","",H401*J401)</f>
        <v/>
      </c>
      <c r="N401" s="5" t="str">
        <f aca="false">IF(A401="","",G401*J401)</f>
        <v/>
      </c>
      <c r="O401" s="5" t="str">
        <f aca="false">IF(A401="","",M401-N401)</f>
        <v/>
      </c>
    </row>
    <row r="402" customFormat="false" ht="15.75" hidden="false" customHeight="true" outlineLevel="0" collapsed="false">
      <c r="E402" s="3"/>
      <c r="F402" s="4"/>
      <c r="G402" s="5"/>
      <c r="H402" s="5"/>
      <c r="K402" s="6" t="n">
        <f aca="false">I402-J402</f>
        <v>0</v>
      </c>
      <c r="L402" s="5" t="n">
        <f aca="false">K402*H402</f>
        <v>0</v>
      </c>
      <c r="M402" s="5" t="str">
        <f aca="false">IF(A402="","",H402*J402)</f>
        <v/>
      </c>
      <c r="N402" s="5" t="str">
        <f aca="false">IF(A402="","",G402*J402)</f>
        <v/>
      </c>
      <c r="O402" s="5" t="str">
        <f aca="false">IF(A402="","",M402-N402)</f>
        <v/>
      </c>
    </row>
    <row r="403" customFormat="false" ht="15.75" hidden="false" customHeight="true" outlineLevel="0" collapsed="false">
      <c r="E403" s="3"/>
      <c r="F403" s="4"/>
      <c r="G403" s="5"/>
      <c r="H403" s="5"/>
      <c r="K403" s="6" t="n">
        <f aca="false">I403-J403</f>
        <v>0</v>
      </c>
      <c r="L403" s="5" t="n">
        <f aca="false">K403*H403</f>
        <v>0</v>
      </c>
      <c r="M403" s="5" t="str">
        <f aca="false">IF(A403="","",H403*J403)</f>
        <v/>
      </c>
      <c r="N403" s="5" t="str">
        <f aca="false">IF(A403="","",G403*J403)</f>
        <v/>
      </c>
      <c r="O403" s="5" t="str">
        <f aca="false">IF(A403="","",M403-N403)</f>
        <v/>
      </c>
    </row>
    <row r="404" customFormat="false" ht="15.75" hidden="false" customHeight="true" outlineLevel="0" collapsed="false">
      <c r="E404" s="3"/>
      <c r="F404" s="4"/>
      <c r="G404" s="5"/>
      <c r="H404" s="5"/>
      <c r="K404" s="6" t="n">
        <f aca="false">I404-J404</f>
        <v>0</v>
      </c>
      <c r="L404" s="5" t="n">
        <f aca="false">K404*H404</f>
        <v>0</v>
      </c>
      <c r="M404" s="5" t="str">
        <f aca="false">IF(A404="","",H404*J404)</f>
        <v/>
      </c>
      <c r="N404" s="5" t="str">
        <f aca="false">IF(A404="","",G404*J404)</f>
        <v/>
      </c>
      <c r="O404" s="5" t="str">
        <f aca="false">IF(A404="","",M404-N404)</f>
        <v/>
      </c>
    </row>
    <row r="405" customFormat="false" ht="15.75" hidden="false" customHeight="true" outlineLevel="0" collapsed="false">
      <c r="E405" s="3"/>
      <c r="F405" s="4"/>
      <c r="G405" s="5"/>
      <c r="H405" s="5"/>
      <c r="K405" s="6" t="n">
        <f aca="false">I405-J405</f>
        <v>0</v>
      </c>
      <c r="L405" s="5" t="n">
        <f aca="false">K405*H405</f>
        <v>0</v>
      </c>
      <c r="M405" s="5" t="str">
        <f aca="false">IF(A405="","",H405*J405)</f>
        <v/>
      </c>
      <c r="N405" s="5" t="str">
        <f aca="false">IF(A405="","",G405*J405)</f>
        <v/>
      </c>
      <c r="O405" s="5" t="str">
        <f aca="false">IF(A405="","",M405-N405)</f>
        <v/>
      </c>
    </row>
    <row r="406" customFormat="false" ht="15.75" hidden="false" customHeight="true" outlineLevel="0" collapsed="false">
      <c r="E406" s="3"/>
      <c r="F406" s="4"/>
      <c r="G406" s="5"/>
      <c r="H406" s="5"/>
      <c r="K406" s="6" t="n">
        <f aca="false">I406-J406</f>
        <v>0</v>
      </c>
      <c r="L406" s="5" t="n">
        <f aca="false">K406*H406</f>
        <v>0</v>
      </c>
      <c r="M406" s="5" t="str">
        <f aca="false">IF(A406="","",H406*J406)</f>
        <v/>
      </c>
      <c r="N406" s="5" t="str">
        <f aca="false">IF(A406="","",G406*J406)</f>
        <v/>
      </c>
      <c r="O406" s="5" t="str">
        <f aca="false">IF(A406="","",M406-N406)</f>
        <v/>
      </c>
    </row>
    <row r="407" customFormat="false" ht="15.75" hidden="false" customHeight="true" outlineLevel="0" collapsed="false">
      <c r="E407" s="3"/>
      <c r="F407" s="4"/>
      <c r="G407" s="5"/>
      <c r="H407" s="5"/>
      <c r="K407" s="6" t="n">
        <f aca="false">I407-J407</f>
        <v>0</v>
      </c>
      <c r="L407" s="5" t="n">
        <f aca="false">K407*H407</f>
        <v>0</v>
      </c>
      <c r="M407" s="5" t="str">
        <f aca="false">IF(A407="","",H407*J407)</f>
        <v/>
      </c>
      <c r="N407" s="5" t="str">
        <f aca="false">IF(A407="","",G407*J407)</f>
        <v/>
      </c>
      <c r="O407" s="5" t="str">
        <f aca="false">IF(A407="","",M407-N407)</f>
        <v/>
      </c>
    </row>
    <row r="408" customFormat="false" ht="15.75" hidden="false" customHeight="true" outlineLevel="0" collapsed="false">
      <c r="E408" s="3"/>
      <c r="F408" s="4"/>
      <c r="G408" s="5"/>
      <c r="H408" s="5"/>
      <c r="K408" s="6" t="n">
        <f aca="false">I408-J408</f>
        <v>0</v>
      </c>
      <c r="L408" s="5" t="n">
        <f aca="false">K408*H408</f>
        <v>0</v>
      </c>
      <c r="M408" s="5" t="str">
        <f aca="false">IF(A408="","",H408*J408)</f>
        <v/>
      </c>
      <c r="N408" s="5" t="str">
        <f aca="false">IF(A408="","",G408*J408)</f>
        <v/>
      </c>
      <c r="O408" s="5" t="str">
        <f aca="false">IF(A408="","",M408-N408)</f>
        <v/>
      </c>
    </row>
    <row r="409" customFormat="false" ht="15.75" hidden="false" customHeight="true" outlineLevel="0" collapsed="false">
      <c r="E409" s="3"/>
      <c r="F409" s="4"/>
      <c r="G409" s="5"/>
      <c r="H409" s="5"/>
      <c r="K409" s="6" t="n">
        <f aca="false">I409-J409</f>
        <v>0</v>
      </c>
      <c r="L409" s="5" t="n">
        <f aca="false">K409*H409</f>
        <v>0</v>
      </c>
      <c r="M409" s="5" t="str">
        <f aca="false">IF(A409="","",H409*J409)</f>
        <v/>
      </c>
      <c r="N409" s="5" t="str">
        <f aca="false">IF(A409="","",G409*J409)</f>
        <v/>
      </c>
      <c r="O409" s="5" t="str">
        <f aca="false">IF(A409="","",M409-N409)</f>
        <v/>
      </c>
    </row>
    <row r="410" customFormat="false" ht="15.75" hidden="false" customHeight="true" outlineLevel="0" collapsed="false">
      <c r="E410" s="3"/>
      <c r="F410" s="4"/>
      <c r="G410" s="5"/>
      <c r="H410" s="5"/>
      <c r="K410" s="6" t="n">
        <f aca="false">I410-J410</f>
        <v>0</v>
      </c>
      <c r="L410" s="5" t="n">
        <f aca="false">K410*H410</f>
        <v>0</v>
      </c>
      <c r="M410" s="5" t="str">
        <f aca="false">IF(A410="","",H410*J410)</f>
        <v/>
      </c>
      <c r="N410" s="5" t="str">
        <f aca="false">IF(A410="","",G410*J410)</f>
        <v/>
      </c>
      <c r="O410" s="5" t="str">
        <f aca="false">IF(A410="","",M410-N410)</f>
        <v/>
      </c>
    </row>
    <row r="411" customFormat="false" ht="15.75" hidden="false" customHeight="true" outlineLevel="0" collapsed="false">
      <c r="E411" s="3"/>
      <c r="F411" s="4"/>
      <c r="G411" s="5"/>
      <c r="H411" s="5"/>
      <c r="K411" s="6" t="n">
        <f aca="false">I411-J411</f>
        <v>0</v>
      </c>
      <c r="L411" s="5" t="n">
        <f aca="false">K411*H411</f>
        <v>0</v>
      </c>
      <c r="M411" s="5" t="str">
        <f aca="false">IF(A411="","",H411*J411)</f>
        <v/>
      </c>
      <c r="N411" s="5" t="str">
        <f aca="false">IF(A411="","",G411*J411)</f>
        <v/>
      </c>
      <c r="O411" s="5" t="str">
        <f aca="false">IF(A411="","",M411-N411)</f>
        <v/>
      </c>
    </row>
    <row r="412" customFormat="false" ht="15.75" hidden="false" customHeight="true" outlineLevel="0" collapsed="false">
      <c r="E412" s="3"/>
      <c r="F412" s="4"/>
      <c r="G412" s="5"/>
      <c r="H412" s="5"/>
      <c r="K412" s="6" t="n">
        <f aca="false">I412-J412</f>
        <v>0</v>
      </c>
      <c r="L412" s="5" t="n">
        <f aca="false">K412*H412</f>
        <v>0</v>
      </c>
      <c r="M412" s="5" t="str">
        <f aca="false">IF(A412="","",H412*J412)</f>
        <v/>
      </c>
      <c r="N412" s="5" t="str">
        <f aca="false">IF(A412="","",G412*J412)</f>
        <v/>
      </c>
      <c r="O412" s="5" t="str">
        <f aca="false">IF(A412="","",M412-N412)</f>
        <v/>
      </c>
    </row>
    <row r="413" customFormat="false" ht="15.75" hidden="false" customHeight="true" outlineLevel="0" collapsed="false">
      <c r="E413" s="3"/>
      <c r="F413" s="4"/>
      <c r="G413" s="5"/>
      <c r="H413" s="5"/>
      <c r="K413" s="6" t="n">
        <f aca="false">I413-J413</f>
        <v>0</v>
      </c>
      <c r="L413" s="5" t="n">
        <f aca="false">K413*H413</f>
        <v>0</v>
      </c>
      <c r="M413" s="5" t="str">
        <f aca="false">IF(A413="","",H413*J413)</f>
        <v/>
      </c>
      <c r="N413" s="5" t="str">
        <f aca="false">IF(A413="","",G413*J413)</f>
        <v/>
      </c>
      <c r="O413" s="5" t="str">
        <f aca="false">IF(A413="","",M413-N413)</f>
        <v/>
      </c>
    </row>
    <row r="414" customFormat="false" ht="15.75" hidden="false" customHeight="true" outlineLevel="0" collapsed="false">
      <c r="E414" s="3"/>
      <c r="F414" s="4"/>
      <c r="G414" s="5"/>
      <c r="H414" s="5"/>
      <c r="K414" s="6" t="n">
        <f aca="false">I414-J414</f>
        <v>0</v>
      </c>
      <c r="L414" s="5" t="n">
        <f aca="false">K414*H414</f>
        <v>0</v>
      </c>
      <c r="M414" s="5" t="str">
        <f aca="false">IF(A414="","",H414*J414)</f>
        <v/>
      </c>
      <c r="N414" s="5" t="str">
        <f aca="false">IF(A414="","",G414*J414)</f>
        <v/>
      </c>
      <c r="O414" s="5" t="str">
        <f aca="false">IF(A414="","",M414-N414)</f>
        <v/>
      </c>
    </row>
    <row r="415" customFormat="false" ht="15.75" hidden="false" customHeight="true" outlineLevel="0" collapsed="false">
      <c r="E415" s="3"/>
      <c r="F415" s="4"/>
      <c r="G415" s="5"/>
      <c r="H415" s="5"/>
      <c r="K415" s="6" t="n">
        <f aca="false">I415-J415</f>
        <v>0</v>
      </c>
      <c r="L415" s="5" t="n">
        <f aca="false">K415*H415</f>
        <v>0</v>
      </c>
      <c r="M415" s="5" t="str">
        <f aca="false">IF(A415="","",H415*J415)</f>
        <v/>
      </c>
      <c r="N415" s="5" t="str">
        <f aca="false">IF(A415="","",G415*J415)</f>
        <v/>
      </c>
      <c r="O415" s="5" t="str">
        <f aca="false">IF(A415="","",M415-N415)</f>
        <v/>
      </c>
    </row>
    <row r="416" customFormat="false" ht="15.75" hidden="false" customHeight="true" outlineLevel="0" collapsed="false">
      <c r="E416" s="3"/>
      <c r="F416" s="4"/>
      <c r="G416" s="5"/>
      <c r="H416" s="5"/>
      <c r="K416" s="6" t="n">
        <f aca="false">I416-J416</f>
        <v>0</v>
      </c>
      <c r="L416" s="5" t="n">
        <f aca="false">K416*H416</f>
        <v>0</v>
      </c>
      <c r="M416" s="5" t="str">
        <f aca="false">IF(A416="","",H416*J416)</f>
        <v/>
      </c>
      <c r="N416" s="5" t="str">
        <f aca="false">IF(A416="","",G416*J416)</f>
        <v/>
      </c>
      <c r="O416" s="5" t="str">
        <f aca="false">IF(A416="","",M416-N416)</f>
        <v/>
      </c>
    </row>
    <row r="417" customFormat="false" ht="15.75" hidden="false" customHeight="true" outlineLevel="0" collapsed="false">
      <c r="E417" s="3"/>
      <c r="F417" s="4"/>
      <c r="G417" s="5"/>
      <c r="H417" s="5"/>
      <c r="K417" s="6" t="n">
        <f aca="false">I417-J417</f>
        <v>0</v>
      </c>
      <c r="L417" s="5" t="n">
        <f aca="false">K417*H417</f>
        <v>0</v>
      </c>
      <c r="M417" s="5" t="str">
        <f aca="false">IF(A417="","",H417*J417)</f>
        <v/>
      </c>
      <c r="N417" s="5" t="str">
        <f aca="false">IF(A417="","",G417*J417)</f>
        <v/>
      </c>
      <c r="O417" s="5" t="str">
        <f aca="false">IF(A417="","",M417-N417)</f>
        <v/>
      </c>
    </row>
    <row r="418" customFormat="false" ht="15.75" hidden="false" customHeight="true" outlineLevel="0" collapsed="false">
      <c r="E418" s="3"/>
      <c r="F418" s="4"/>
      <c r="G418" s="5"/>
      <c r="H418" s="5"/>
      <c r="K418" s="6" t="n">
        <f aca="false">I418-J418</f>
        <v>0</v>
      </c>
      <c r="L418" s="5" t="n">
        <f aca="false">K418*H418</f>
        <v>0</v>
      </c>
      <c r="M418" s="5" t="str">
        <f aca="false">IF(A418="","",H418*J418)</f>
        <v/>
      </c>
      <c r="N418" s="5" t="str">
        <f aca="false">IF(A418="","",G418*J418)</f>
        <v/>
      </c>
      <c r="O418" s="5" t="str">
        <f aca="false">IF(A418="","",M418-N418)</f>
        <v/>
      </c>
    </row>
    <row r="419" customFormat="false" ht="15.75" hidden="false" customHeight="true" outlineLevel="0" collapsed="false">
      <c r="E419" s="3"/>
      <c r="F419" s="4"/>
      <c r="G419" s="5"/>
      <c r="H419" s="5"/>
      <c r="K419" s="6" t="n">
        <f aca="false">I419-J419</f>
        <v>0</v>
      </c>
      <c r="L419" s="5" t="n">
        <f aca="false">K419*H419</f>
        <v>0</v>
      </c>
      <c r="M419" s="5" t="str">
        <f aca="false">IF(A419="","",H419*J419)</f>
        <v/>
      </c>
      <c r="N419" s="5" t="str">
        <f aca="false">IF(A419="","",G419*J419)</f>
        <v/>
      </c>
      <c r="O419" s="5" t="str">
        <f aca="false">IF(A419="","",M419-N419)</f>
        <v/>
      </c>
    </row>
    <row r="420" customFormat="false" ht="15.75" hidden="false" customHeight="true" outlineLevel="0" collapsed="false">
      <c r="E420" s="3"/>
      <c r="F420" s="4"/>
      <c r="G420" s="5"/>
      <c r="H420" s="5"/>
      <c r="K420" s="6" t="n">
        <f aca="false">I420-J420</f>
        <v>0</v>
      </c>
      <c r="L420" s="5" t="n">
        <f aca="false">K420*H420</f>
        <v>0</v>
      </c>
      <c r="M420" s="5" t="str">
        <f aca="false">IF(A420="","",H420*J420)</f>
        <v/>
      </c>
      <c r="N420" s="5" t="str">
        <f aca="false">IF(A420="","",G420*J420)</f>
        <v/>
      </c>
      <c r="O420" s="5" t="str">
        <f aca="false">IF(A420="","",M420-N420)</f>
        <v/>
      </c>
    </row>
    <row r="421" customFormat="false" ht="15.75" hidden="false" customHeight="true" outlineLevel="0" collapsed="false">
      <c r="E421" s="3"/>
      <c r="F421" s="4"/>
      <c r="G421" s="5"/>
      <c r="H421" s="5"/>
      <c r="K421" s="6" t="n">
        <f aca="false">I421-J421</f>
        <v>0</v>
      </c>
      <c r="L421" s="5" t="n">
        <f aca="false">K421*H421</f>
        <v>0</v>
      </c>
      <c r="M421" s="5" t="str">
        <f aca="false">IF(A421="","",H421*J421)</f>
        <v/>
      </c>
      <c r="N421" s="5" t="str">
        <f aca="false">IF(A421="","",G421*J421)</f>
        <v/>
      </c>
      <c r="O421" s="5" t="str">
        <f aca="false">IF(A421="","",M421-N421)</f>
        <v/>
      </c>
    </row>
    <row r="422" customFormat="false" ht="15.75" hidden="false" customHeight="true" outlineLevel="0" collapsed="false">
      <c r="E422" s="3"/>
      <c r="F422" s="4"/>
      <c r="G422" s="5"/>
      <c r="H422" s="5"/>
      <c r="K422" s="6" t="n">
        <f aca="false">I422-J422</f>
        <v>0</v>
      </c>
      <c r="L422" s="5" t="n">
        <f aca="false">K422*H422</f>
        <v>0</v>
      </c>
      <c r="M422" s="5" t="str">
        <f aca="false">IF(A422="","",H422*J422)</f>
        <v/>
      </c>
      <c r="N422" s="5" t="str">
        <f aca="false">IF(A422="","",G422*J422)</f>
        <v/>
      </c>
      <c r="O422" s="5" t="str">
        <f aca="false">IF(A422="","",M422-N422)</f>
        <v/>
      </c>
    </row>
    <row r="423" customFormat="false" ht="15.75" hidden="false" customHeight="true" outlineLevel="0" collapsed="false">
      <c r="E423" s="3"/>
      <c r="F423" s="4"/>
      <c r="G423" s="5"/>
      <c r="H423" s="5"/>
      <c r="K423" s="6" t="n">
        <f aca="false">I423-J423</f>
        <v>0</v>
      </c>
      <c r="L423" s="5" t="n">
        <f aca="false">K423*H423</f>
        <v>0</v>
      </c>
      <c r="M423" s="5" t="str">
        <f aca="false">IF(A423="","",H423*J423)</f>
        <v/>
      </c>
      <c r="N423" s="5" t="str">
        <f aca="false">IF(A423="","",G423*J423)</f>
        <v/>
      </c>
      <c r="O423" s="5" t="str">
        <f aca="false">IF(A423="","",M423-N423)</f>
        <v/>
      </c>
    </row>
    <row r="424" customFormat="false" ht="15.75" hidden="false" customHeight="true" outlineLevel="0" collapsed="false">
      <c r="E424" s="3"/>
      <c r="F424" s="4"/>
      <c r="G424" s="5"/>
      <c r="H424" s="5"/>
      <c r="K424" s="6" t="n">
        <f aca="false">I424-J424</f>
        <v>0</v>
      </c>
      <c r="L424" s="5" t="n">
        <f aca="false">K424*H424</f>
        <v>0</v>
      </c>
      <c r="M424" s="5" t="str">
        <f aca="false">IF(A424="","",H424*J424)</f>
        <v/>
      </c>
      <c r="N424" s="5" t="str">
        <f aca="false">IF(A424="","",G424*J424)</f>
        <v/>
      </c>
      <c r="O424" s="5" t="str">
        <f aca="false">IF(A424="","",M424-N424)</f>
        <v/>
      </c>
    </row>
    <row r="425" customFormat="false" ht="15.75" hidden="false" customHeight="true" outlineLevel="0" collapsed="false">
      <c r="E425" s="3"/>
      <c r="F425" s="4"/>
      <c r="G425" s="5"/>
      <c r="H425" s="5"/>
      <c r="K425" s="6" t="n">
        <f aca="false">I425-J425</f>
        <v>0</v>
      </c>
      <c r="L425" s="5" t="n">
        <f aca="false">K425*H425</f>
        <v>0</v>
      </c>
      <c r="M425" s="5" t="str">
        <f aca="false">IF(A425="","",H425*J425)</f>
        <v/>
      </c>
      <c r="N425" s="5" t="str">
        <f aca="false">IF(A425="","",G425*J425)</f>
        <v/>
      </c>
      <c r="O425" s="5" t="str">
        <f aca="false">IF(A425="","",M425-N425)</f>
        <v/>
      </c>
    </row>
    <row r="426" customFormat="false" ht="15.75" hidden="false" customHeight="true" outlineLevel="0" collapsed="false">
      <c r="E426" s="3"/>
      <c r="F426" s="4"/>
      <c r="G426" s="5"/>
      <c r="H426" s="5"/>
      <c r="K426" s="6" t="n">
        <f aca="false">I426-J426</f>
        <v>0</v>
      </c>
      <c r="L426" s="5" t="n">
        <f aca="false">K426*H426</f>
        <v>0</v>
      </c>
      <c r="M426" s="5" t="str">
        <f aca="false">IF(A426="","",H426*J426)</f>
        <v/>
      </c>
      <c r="N426" s="5" t="str">
        <f aca="false">IF(A426="","",G426*J426)</f>
        <v/>
      </c>
      <c r="O426" s="5" t="str">
        <f aca="false">IF(A426="","",M426-N426)</f>
        <v/>
      </c>
    </row>
    <row r="427" customFormat="false" ht="15.75" hidden="false" customHeight="true" outlineLevel="0" collapsed="false">
      <c r="E427" s="3"/>
      <c r="F427" s="4"/>
      <c r="G427" s="5"/>
      <c r="H427" s="5"/>
      <c r="K427" s="6" t="n">
        <f aca="false">I427-J427</f>
        <v>0</v>
      </c>
      <c r="L427" s="5" t="n">
        <f aca="false">K427*H427</f>
        <v>0</v>
      </c>
      <c r="M427" s="5" t="str">
        <f aca="false">IF(A427="","",H427*J427)</f>
        <v/>
      </c>
      <c r="N427" s="5" t="str">
        <f aca="false">IF(A427="","",G427*J427)</f>
        <v/>
      </c>
      <c r="O427" s="5" t="str">
        <f aca="false">IF(A427="","",M427-N427)</f>
        <v/>
      </c>
    </row>
    <row r="428" customFormat="false" ht="15.75" hidden="false" customHeight="true" outlineLevel="0" collapsed="false">
      <c r="E428" s="3"/>
      <c r="F428" s="4"/>
      <c r="G428" s="5"/>
      <c r="H428" s="5"/>
      <c r="K428" s="6" t="n">
        <f aca="false">I428-J428</f>
        <v>0</v>
      </c>
      <c r="L428" s="5" t="n">
        <f aca="false">K428*H428</f>
        <v>0</v>
      </c>
      <c r="M428" s="5" t="str">
        <f aca="false">IF(A428="","",H428*J428)</f>
        <v/>
      </c>
      <c r="N428" s="5" t="str">
        <f aca="false">IF(A428="","",G428*J428)</f>
        <v/>
      </c>
      <c r="O428" s="5" t="str">
        <f aca="false">IF(A428="","",M428-N428)</f>
        <v/>
      </c>
    </row>
    <row r="429" customFormat="false" ht="15.75" hidden="false" customHeight="true" outlineLevel="0" collapsed="false">
      <c r="E429" s="3"/>
      <c r="F429" s="4"/>
      <c r="G429" s="5"/>
      <c r="H429" s="5"/>
      <c r="K429" s="6" t="n">
        <f aca="false">I429-J429</f>
        <v>0</v>
      </c>
      <c r="L429" s="5" t="n">
        <f aca="false">K429*H429</f>
        <v>0</v>
      </c>
      <c r="M429" s="5" t="str">
        <f aca="false">IF(A429="","",H429*J429)</f>
        <v/>
      </c>
      <c r="N429" s="5" t="str">
        <f aca="false">IF(A429="","",G429*J429)</f>
        <v/>
      </c>
      <c r="O429" s="5" t="str">
        <f aca="false">IF(A429="","",M429-N429)</f>
        <v/>
      </c>
    </row>
    <row r="430" customFormat="false" ht="15.75" hidden="false" customHeight="true" outlineLevel="0" collapsed="false">
      <c r="E430" s="3"/>
      <c r="F430" s="4"/>
      <c r="G430" s="5"/>
      <c r="H430" s="5"/>
      <c r="K430" s="6" t="n">
        <f aca="false">I430-J430</f>
        <v>0</v>
      </c>
      <c r="L430" s="5" t="n">
        <f aca="false">K430*H430</f>
        <v>0</v>
      </c>
      <c r="M430" s="5" t="str">
        <f aca="false">IF(A430="","",H430*J430)</f>
        <v/>
      </c>
      <c r="N430" s="5" t="str">
        <f aca="false">IF(A430="","",G430*J430)</f>
        <v/>
      </c>
      <c r="O430" s="5" t="str">
        <f aca="false">IF(A430="","",M430-N430)</f>
        <v/>
      </c>
    </row>
    <row r="431" customFormat="false" ht="15.75" hidden="false" customHeight="true" outlineLevel="0" collapsed="false">
      <c r="E431" s="3"/>
      <c r="F431" s="4"/>
      <c r="G431" s="5"/>
      <c r="H431" s="5"/>
      <c r="K431" s="6" t="n">
        <f aca="false">I431-J431</f>
        <v>0</v>
      </c>
      <c r="L431" s="5" t="n">
        <f aca="false">K431*H431</f>
        <v>0</v>
      </c>
      <c r="M431" s="5" t="str">
        <f aca="false">IF(A431="","",H431*J431)</f>
        <v/>
      </c>
      <c r="N431" s="5" t="str">
        <f aca="false">IF(A431="","",G431*J431)</f>
        <v/>
      </c>
      <c r="O431" s="5" t="str">
        <f aca="false">IF(A431="","",M431-N431)</f>
        <v/>
      </c>
    </row>
    <row r="432" customFormat="false" ht="15.75" hidden="false" customHeight="true" outlineLevel="0" collapsed="false">
      <c r="E432" s="3"/>
      <c r="F432" s="4"/>
      <c r="G432" s="5"/>
      <c r="H432" s="5"/>
      <c r="K432" s="6" t="n">
        <f aca="false">I432-J432</f>
        <v>0</v>
      </c>
      <c r="L432" s="5" t="n">
        <f aca="false">K432*H432</f>
        <v>0</v>
      </c>
      <c r="M432" s="5" t="str">
        <f aca="false">IF(A432="","",H432*J432)</f>
        <v/>
      </c>
      <c r="N432" s="5" t="str">
        <f aca="false">IF(A432="","",G432*J432)</f>
        <v/>
      </c>
      <c r="O432" s="5" t="str">
        <f aca="false">IF(A432="","",M432-N432)</f>
        <v/>
      </c>
    </row>
    <row r="433" customFormat="false" ht="15.75" hidden="false" customHeight="true" outlineLevel="0" collapsed="false">
      <c r="E433" s="3"/>
      <c r="F433" s="4"/>
      <c r="G433" s="5"/>
      <c r="H433" s="5"/>
      <c r="K433" s="6" t="n">
        <f aca="false">I433-J433</f>
        <v>0</v>
      </c>
      <c r="L433" s="5" t="n">
        <f aca="false">K433*H433</f>
        <v>0</v>
      </c>
      <c r="M433" s="5" t="str">
        <f aca="false">IF(A433="","",H433*J433)</f>
        <v/>
      </c>
      <c r="N433" s="5" t="str">
        <f aca="false">IF(A433="","",G433*J433)</f>
        <v/>
      </c>
      <c r="O433" s="5" t="str">
        <f aca="false">IF(A433="","",M433-N433)</f>
        <v/>
      </c>
    </row>
    <row r="434" customFormat="false" ht="15.75" hidden="false" customHeight="true" outlineLevel="0" collapsed="false">
      <c r="E434" s="3"/>
      <c r="F434" s="4"/>
      <c r="G434" s="5"/>
      <c r="H434" s="5"/>
      <c r="K434" s="6" t="n">
        <f aca="false">I434-J434</f>
        <v>0</v>
      </c>
      <c r="L434" s="5" t="n">
        <f aca="false">K434*H434</f>
        <v>0</v>
      </c>
      <c r="M434" s="5" t="str">
        <f aca="false">IF(A434="","",H434*J434)</f>
        <v/>
      </c>
      <c r="N434" s="5" t="str">
        <f aca="false">IF(A434="","",G434*J434)</f>
        <v/>
      </c>
      <c r="O434" s="5" t="str">
        <f aca="false">IF(A434="","",M434-N434)</f>
        <v/>
      </c>
    </row>
    <row r="435" customFormat="false" ht="15.75" hidden="false" customHeight="true" outlineLevel="0" collapsed="false">
      <c r="E435" s="3"/>
      <c r="F435" s="4"/>
      <c r="G435" s="5"/>
      <c r="H435" s="5"/>
      <c r="K435" s="6" t="n">
        <f aca="false">I435-J435</f>
        <v>0</v>
      </c>
      <c r="L435" s="5" t="n">
        <f aca="false">K435*H435</f>
        <v>0</v>
      </c>
      <c r="M435" s="5" t="str">
        <f aca="false">IF(A435="","",H435*J435)</f>
        <v/>
      </c>
      <c r="N435" s="5" t="str">
        <f aca="false">IF(A435="","",G435*J435)</f>
        <v/>
      </c>
      <c r="O435" s="5" t="str">
        <f aca="false">IF(A435="","",M435-N435)</f>
        <v/>
      </c>
    </row>
    <row r="436" customFormat="false" ht="15.75" hidden="false" customHeight="true" outlineLevel="0" collapsed="false">
      <c r="E436" s="3"/>
      <c r="F436" s="4"/>
      <c r="G436" s="5"/>
      <c r="H436" s="5"/>
      <c r="K436" s="6" t="n">
        <f aca="false">I436-J436</f>
        <v>0</v>
      </c>
      <c r="L436" s="5" t="n">
        <f aca="false">K436*H436</f>
        <v>0</v>
      </c>
      <c r="M436" s="5" t="str">
        <f aca="false">IF(A436="","",H436*J436)</f>
        <v/>
      </c>
      <c r="N436" s="5" t="str">
        <f aca="false">IF(A436="","",G436*J436)</f>
        <v/>
      </c>
      <c r="O436" s="5" t="str">
        <f aca="false">IF(A436="","",M436-N436)</f>
        <v/>
      </c>
    </row>
    <row r="437" customFormat="false" ht="15.75" hidden="false" customHeight="true" outlineLevel="0" collapsed="false">
      <c r="E437" s="3"/>
      <c r="F437" s="4"/>
      <c r="G437" s="5"/>
      <c r="H437" s="5"/>
      <c r="K437" s="6" t="n">
        <f aca="false">I437-J437</f>
        <v>0</v>
      </c>
      <c r="L437" s="5" t="n">
        <f aca="false">K437*H437</f>
        <v>0</v>
      </c>
      <c r="M437" s="5" t="str">
        <f aca="false">IF(A437="","",H437*J437)</f>
        <v/>
      </c>
      <c r="N437" s="5" t="str">
        <f aca="false">IF(A437="","",G437*J437)</f>
        <v/>
      </c>
      <c r="O437" s="5" t="str">
        <f aca="false">IF(A437="","",M437-N437)</f>
        <v/>
      </c>
    </row>
    <row r="438" customFormat="false" ht="15.75" hidden="false" customHeight="true" outlineLevel="0" collapsed="false">
      <c r="E438" s="3"/>
      <c r="F438" s="4"/>
      <c r="G438" s="5"/>
      <c r="H438" s="5"/>
      <c r="K438" s="6" t="n">
        <f aca="false">I438-J438</f>
        <v>0</v>
      </c>
      <c r="L438" s="5" t="n">
        <f aca="false">K438*H438</f>
        <v>0</v>
      </c>
      <c r="M438" s="5" t="str">
        <f aca="false">IF(A438="","",H438*J438)</f>
        <v/>
      </c>
      <c r="N438" s="5" t="str">
        <f aca="false">IF(A438="","",G438*J438)</f>
        <v/>
      </c>
      <c r="O438" s="5" t="str">
        <f aca="false">IF(A438="","",M438-N438)</f>
        <v/>
      </c>
    </row>
    <row r="439" customFormat="false" ht="15.75" hidden="false" customHeight="true" outlineLevel="0" collapsed="false">
      <c r="E439" s="3"/>
      <c r="F439" s="4"/>
      <c r="G439" s="5"/>
      <c r="H439" s="5"/>
      <c r="K439" s="6" t="n">
        <f aca="false">I439-J439</f>
        <v>0</v>
      </c>
      <c r="L439" s="5" t="n">
        <f aca="false">K439*H439</f>
        <v>0</v>
      </c>
      <c r="M439" s="5" t="str">
        <f aca="false">IF(A439="","",H439*J439)</f>
        <v/>
      </c>
      <c r="N439" s="5" t="str">
        <f aca="false">IF(A439="","",G439*J439)</f>
        <v/>
      </c>
      <c r="O439" s="5" t="str">
        <f aca="false">IF(A439="","",M439-N439)</f>
        <v/>
      </c>
    </row>
    <row r="440" customFormat="false" ht="15.75" hidden="false" customHeight="true" outlineLevel="0" collapsed="false">
      <c r="E440" s="3"/>
      <c r="F440" s="4"/>
      <c r="G440" s="5"/>
      <c r="H440" s="5"/>
      <c r="K440" s="6" t="n">
        <f aca="false">I440-J440</f>
        <v>0</v>
      </c>
      <c r="L440" s="5" t="n">
        <f aca="false">K440*H440</f>
        <v>0</v>
      </c>
      <c r="M440" s="5" t="str">
        <f aca="false">IF(A440="","",H440*J440)</f>
        <v/>
      </c>
      <c r="N440" s="5" t="str">
        <f aca="false">IF(A440="","",G440*J440)</f>
        <v/>
      </c>
      <c r="O440" s="5" t="str">
        <f aca="false">IF(A440="","",M440-N440)</f>
        <v/>
      </c>
    </row>
    <row r="441" customFormat="false" ht="15.75" hidden="false" customHeight="true" outlineLevel="0" collapsed="false">
      <c r="E441" s="3"/>
      <c r="F441" s="4"/>
      <c r="G441" s="5"/>
      <c r="H441" s="5"/>
      <c r="K441" s="6" t="n">
        <f aca="false">I441-J441</f>
        <v>0</v>
      </c>
      <c r="L441" s="5" t="n">
        <f aca="false">K441*H441</f>
        <v>0</v>
      </c>
      <c r="M441" s="5" t="str">
        <f aca="false">IF(A441="","",H441*J441)</f>
        <v/>
      </c>
      <c r="N441" s="5" t="str">
        <f aca="false">IF(A441="","",G441*J441)</f>
        <v/>
      </c>
      <c r="O441" s="5" t="str">
        <f aca="false">IF(A441="","",M441-N441)</f>
        <v/>
      </c>
    </row>
    <row r="442" customFormat="false" ht="15.75" hidden="false" customHeight="true" outlineLevel="0" collapsed="false">
      <c r="E442" s="3"/>
      <c r="F442" s="4"/>
      <c r="G442" s="5"/>
      <c r="H442" s="5"/>
      <c r="K442" s="6" t="n">
        <f aca="false">I442-J442</f>
        <v>0</v>
      </c>
      <c r="L442" s="5" t="n">
        <f aca="false">K442*H442</f>
        <v>0</v>
      </c>
      <c r="M442" s="5" t="str">
        <f aca="false">IF(A442="","",H442*J442)</f>
        <v/>
      </c>
      <c r="N442" s="5" t="str">
        <f aca="false">IF(A442="","",G442*J442)</f>
        <v/>
      </c>
      <c r="O442" s="5" t="str">
        <f aca="false">IF(A442="","",M442-N442)</f>
        <v/>
      </c>
    </row>
    <row r="443" customFormat="false" ht="15.75" hidden="false" customHeight="true" outlineLevel="0" collapsed="false">
      <c r="E443" s="3"/>
      <c r="F443" s="4"/>
      <c r="G443" s="5"/>
      <c r="H443" s="5"/>
      <c r="K443" s="6" t="n">
        <f aca="false">I443-J443</f>
        <v>0</v>
      </c>
      <c r="L443" s="5" t="n">
        <f aca="false">K443*H443</f>
        <v>0</v>
      </c>
      <c r="M443" s="5" t="str">
        <f aca="false">IF(A443="","",H443*J443)</f>
        <v/>
      </c>
      <c r="N443" s="5" t="str">
        <f aca="false">IF(A443="","",G443*J443)</f>
        <v/>
      </c>
      <c r="O443" s="5" t="str">
        <f aca="false">IF(A443="","",M443-N443)</f>
        <v/>
      </c>
    </row>
    <row r="444" customFormat="false" ht="15.75" hidden="false" customHeight="true" outlineLevel="0" collapsed="false">
      <c r="E444" s="3"/>
      <c r="F444" s="4"/>
      <c r="G444" s="5"/>
      <c r="H444" s="5"/>
      <c r="K444" s="6" t="n">
        <f aca="false">I444-J444</f>
        <v>0</v>
      </c>
      <c r="L444" s="5" t="n">
        <f aca="false">K444*H444</f>
        <v>0</v>
      </c>
      <c r="M444" s="5" t="str">
        <f aca="false">IF(A444="","",H444*J444)</f>
        <v/>
      </c>
      <c r="N444" s="5" t="str">
        <f aca="false">IF(A444="","",G444*J444)</f>
        <v/>
      </c>
      <c r="O444" s="5" t="str">
        <f aca="false">IF(A444="","",M444-N444)</f>
        <v/>
      </c>
    </row>
    <row r="445" customFormat="false" ht="15.75" hidden="false" customHeight="true" outlineLevel="0" collapsed="false">
      <c r="E445" s="3"/>
      <c r="F445" s="4"/>
      <c r="G445" s="5"/>
      <c r="H445" s="5"/>
      <c r="K445" s="6" t="n">
        <f aca="false">I445-J445</f>
        <v>0</v>
      </c>
      <c r="L445" s="5" t="n">
        <f aca="false">K445*H445</f>
        <v>0</v>
      </c>
      <c r="M445" s="5" t="str">
        <f aca="false">IF(A445="","",H445*J445)</f>
        <v/>
      </c>
      <c r="N445" s="5" t="str">
        <f aca="false">IF(A445="","",G445*J445)</f>
        <v/>
      </c>
      <c r="O445" s="5" t="str">
        <f aca="false">IF(A445="","",M445-N445)</f>
        <v/>
      </c>
    </row>
    <row r="446" customFormat="false" ht="15.75" hidden="false" customHeight="true" outlineLevel="0" collapsed="false">
      <c r="E446" s="3"/>
      <c r="F446" s="4"/>
      <c r="G446" s="5"/>
      <c r="H446" s="5"/>
      <c r="K446" s="6" t="n">
        <f aca="false">I446-J446</f>
        <v>0</v>
      </c>
      <c r="L446" s="5" t="n">
        <f aca="false">K446*H446</f>
        <v>0</v>
      </c>
      <c r="M446" s="5" t="str">
        <f aca="false">IF(A446="","",H446*J446)</f>
        <v/>
      </c>
      <c r="N446" s="5" t="str">
        <f aca="false">IF(A446="","",G446*J446)</f>
        <v/>
      </c>
      <c r="O446" s="5" t="str">
        <f aca="false">IF(A446="","",M446-N446)</f>
        <v/>
      </c>
    </row>
    <row r="447" customFormat="false" ht="15.75" hidden="false" customHeight="true" outlineLevel="0" collapsed="false">
      <c r="E447" s="3"/>
      <c r="F447" s="4"/>
      <c r="G447" s="5"/>
      <c r="H447" s="5"/>
      <c r="K447" s="6" t="n">
        <f aca="false">I447-J447</f>
        <v>0</v>
      </c>
      <c r="L447" s="5" t="n">
        <f aca="false">K447*H447</f>
        <v>0</v>
      </c>
      <c r="M447" s="5" t="str">
        <f aca="false">IF(A447="","",H447*J447)</f>
        <v/>
      </c>
      <c r="N447" s="5" t="str">
        <f aca="false">IF(A447="","",G447*J447)</f>
        <v/>
      </c>
      <c r="O447" s="5" t="str">
        <f aca="false">IF(A447="","",M447-N447)</f>
        <v/>
      </c>
    </row>
    <row r="448" customFormat="false" ht="15.75" hidden="false" customHeight="true" outlineLevel="0" collapsed="false">
      <c r="E448" s="3"/>
      <c r="F448" s="4"/>
      <c r="G448" s="5"/>
      <c r="H448" s="5"/>
      <c r="K448" s="6" t="n">
        <f aca="false">I448-J448</f>
        <v>0</v>
      </c>
      <c r="L448" s="5" t="n">
        <f aca="false">K448*H448</f>
        <v>0</v>
      </c>
      <c r="M448" s="5" t="str">
        <f aca="false">IF(A448="","",H448*J448)</f>
        <v/>
      </c>
      <c r="N448" s="5" t="str">
        <f aca="false">IF(A448="","",G448*J448)</f>
        <v/>
      </c>
      <c r="O448" s="5" t="str">
        <f aca="false">IF(A448="","",M448-N448)</f>
        <v/>
      </c>
    </row>
    <row r="449" customFormat="false" ht="15.75" hidden="false" customHeight="true" outlineLevel="0" collapsed="false">
      <c r="E449" s="3"/>
      <c r="F449" s="4"/>
      <c r="G449" s="5"/>
      <c r="H449" s="5"/>
      <c r="K449" s="6" t="n">
        <f aca="false">I449-J449</f>
        <v>0</v>
      </c>
      <c r="L449" s="5" t="n">
        <f aca="false">K449*H449</f>
        <v>0</v>
      </c>
      <c r="M449" s="5" t="str">
        <f aca="false">IF(A449="","",H449*J449)</f>
        <v/>
      </c>
      <c r="N449" s="5" t="str">
        <f aca="false">IF(A449="","",G449*J449)</f>
        <v/>
      </c>
      <c r="O449" s="5" t="str">
        <f aca="false">IF(A449="","",M449-N449)</f>
        <v/>
      </c>
    </row>
    <row r="450" customFormat="false" ht="15.75" hidden="false" customHeight="true" outlineLevel="0" collapsed="false">
      <c r="E450" s="3"/>
      <c r="F450" s="4"/>
      <c r="G450" s="5"/>
      <c r="H450" s="5"/>
      <c r="K450" s="6" t="n">
        <f aca="false">I450-J450</f>
        <v>0</v>
      </c>
      <c r="L450" s="5" t="n">
        <f aca="false">K450*H450</f>
        <v>0</v>
      </c>
      <c r="M450" s="5" t="str">
        <f aca="false">IF(A450="","",H450*J450)</f>
        <v/>
      </c>
      <c r="N450" s="5" t="str">
        <f aca="false">IF(A450="","",G450*J450)</f>
        <v/>
      </c>
      <c r="O450" s="5" t="str">
        <f aca="false">IF(A450="","",M450-N450)</f>
        <v/>
      </c>
    </row>
    <row r="451" customFormat="false" ht="15.75" hidden="false" customHeight="true" outlineLevel="0" collapsed="false">
      <c r="E451" s="3"/>
      <c r="F451" s="4"/>
      <c r="G451" s="5"/>
      <c r="H451" s="5"/>
      <c r="K451" s="6" t="n">
        <f aca="false">I451-J451</f>
        <v>0</v>
      </c>
      <c r="L451" s="5" t="n">
        <f aca="false">K451*H451</f>
        <v>0</v>
      </c>
      <c r="M451" s="5" t="str">
        <f aca="false">IF(A451="","",H451*J451)</f>
        <v/>
      </c>
      <c r="N451" s="5" t="str">
        <f aca="false">IF(A451="","",G451*J451)</f>
        <v/>
      </c>
      <c r="O451" s="5" t="str">
        <f aca="false">IF(A451="","",M451-N451)</f>
        <v/>
      </c>
    </row>
    <row r="452" customFormat="false" ht="15.75" hidden="false" customHeight="true" outlineLevel="0" collapsed="false">
      <c r="E452" s="3"/>
      <c r="F452" s="4"/>
      <c r="G452" s="5"/>
      <c r="H452" s="5"/>
      <c r="K452" s="6" t="n">
        <f aca="false">I452-J452</f>
        <v>0</v>
      </c>
      <c r="L452" s="5" t="n">
        <f aca="false">K452*H452</f>
        <v>0</v>
      </c>
      <c r="M452" s="5" t="str">
        <f aca="false">IF(A452="","",H452*J452)</f>
        <v/>
      </c>
      <c r="N452" s="5" t="str">
        <f aca="false">IF(A452="","",G452*J452)</f>
        <v/>
      </c>
      <c r="O452" s="5" t="str">
        <f aca="false">IF(A452="","",M452-N452)</f>
        <v/>
      </c>
    </row>
    <row r="453" customFormat="false" ht="15.75" hidden="false" customHeight="true" outlineLevel="0" collapsed="false">
      <c r="E453" s="3"/>
      <c r="F453" s="4"/>
      <c r="G453" s="5"/>
      <c r="H453" s="5"/>
      <c r="K453" s="6" t="n">
        <f aca="false">I453-J453</f>
        <v>0</v>
      </c>
      <c r="L453" s="5" t="n">
        <f aca="false">K453*H453</f>
        <v>0</v>
      </c>
      <c r="M453" s="5" t="str">
        <f aca="false">IF(A453="","",H453*J453)</f>
        <v/>
      </c>
      <c r="N453" s="5" t="str">
        <f aca="false">IF(A453="","",G453*J453)</f>
        <v/>
      </c>
      <c r="O453" s="5" t="str">
        <f aca="false">IF(A453="","",M453-N453)</f>
        <v/>
      </c>
    </row>
    <row r="454" customFormat="false" ht="15.75" hidden="false" customHeight="true" outlineLevel="0" collapsed="false">
      <c r="E454" s="3"/>
      <c r="F454" s="4"/>
      <c r="G454" s="5"/>
      <c r="H454" s="5"/>
      <c r="K454" s="6" t="n">
        <f aca="false">I454-J454</f>
        <v>0</v>
      </c>
      <c r="L454" s="5" t="n">
        <f aca="false">K454*H454</f>
        <v>0</v>
      </c>
      <c r="M454" s="5" t="str">
        <f aca="false">IF(A454="","",H454*J454)</f>
        <v/>
      </c>
      <c r="N454" s="5" t="str">
        <f aca="false">IF(A454="","",G454*J454)</f>
        <v/>
      </c>
      <c r="O454" s="5" t="str">
        <f aca="false">IF(A454="","",M454-N454)</f>
        <v/>
      </c>
    </row>
    <row r="455" customFormat="false" ht="15.75" hidden="false" customHeight="true" outlineLevel="0" collapsed="false">
      <c r="E455" s="3"/>
      <c r="F455" s="4"/>
      <c r="G455" s="5"/>
      <c r="H455" s="5"/>
      <c r="K455" s="6" t="n">
        <f aca="false">I455-J455</f>
        <v>0</v>
      </c>
      <c r="L455" s="5" t="n">
        <f aca="false">K455*H455</f>
        <v>0</v>
      </c>
      <c r="M455" s="5" t="str">
        <f aca="false">IF(A455="","",H455*J455)</f>
        <v/>
      </c>
      <c r="N455" s="5" t="str">
        <f aca="false">IF(A455="","",G455*J455)</f>
        <v/>
      </c>
      <c r="O455" s="5" t="str">
        <f aca="false">IF(A455="","",M455-N455)</f>
        <v/>
      </c>
    </row>
    <row r="456" customFormat="false" ht="15.75" hidden="false" customHeight="true" outlineLevel="0" collapsed="false">
      <c r="E456" s="3"/>
      <c r="F456" s="4"/>
      <c r="G456" s="5"/>
      <c r="H456" s="5"/>
      <c r="K456" s="6" t="n">
        <f aca="false">I456-J456</f>
        <v>0</v>
      </c>
      <c r="L456" s="5" t="n">
        <f aca="false">K456*H456</f>
        <v>0</v>
      </c>
      <c r="M456" s="5" t="str">
        <f aca="false">IF(A456="","",H456*J456)</f>
        <v/>
      </c>
      <c r="N456" s="5" t="str">
        <f aca="false">IF(A456="","",G456*J456)</f>
        <v/>
      </c>
      <c r="O456" s="5" t="str">
        <f aca="false">IF(A456="","",M456-N456)</f>
        <v/>
      </c>
    </row>
    <row r="457" customFormat="false" ht="15.75" hidden="false" customHeight="true" outlineLevel="0" collapsed="false">
      <c r="E457" s="3"/>
      <c r="F457" s="4"/>
      <c r="G457" s="5"/>
      <c r="H457" s="5"/>
      <c r="K457" s="6" t="n">
        <f aca="false">I457-J457</f>
        <v>0</v>
      </c>
      <c r="L457" s="5" t="n">
        <f aca="false">K457*H457</f>
        <v>0</v>
      </c>
      <c r="M457" s="5" t="str">
        <f aca="false">IF(A457="","",H457*J457)</f>
        <v/>
      </c>
      <c r="N457" s="5" t="str">
        <f aca="false">IF(A457="","",G457*J457)</f>
        <v/>
      </c>
      <c r="O457" s="5" t="str">
        <f aca="false">IF(A457="","",M457-N457)</f>
        <v/>
      </c>
    </row>
    <row r="458" customFormat="false" ht="15.75" hidden="false" customHeight="true" outlineLevel="0" collapsed="false">
      <c r="E458" s="3"/>
      <c r="F458" s="4"/>
      <c r="G458" s="5"/>
      <c r="H458" s="5"/>
      <c r="K458" s="6" t="n">
        <f aca="false">I458-J458</f>
        <v>0</v>
      </c>
      <c r="L458" s="5" t="n">
        <f aca="false">K458*H458</f>
        <v>0</v>
      </c>
      <c r="M458" s="5" t="str">
        <f aca="false">IF(A458="","",H458*J458)</f>
        <v/>
      </c>
      <c r="N458" s="5" t="str">
        <f aca="false">IF(A458="","",G458*J458)</f>
        <v/>
      </c>
      <c r="O458" s="5" t="str">
        <f aca="false">IF(A458="","",M458-N458)</f>
        <v/>
      </c>
    </row>
    <row r="459" customFormat="false" ht="15.75" hidden="false" customHeight="true" outlineLevel="0" collapsed="false">
      <c r="E459" s="3"/>
      <c r="F459" s="4"/>
      <c r="G459" s="5"/>
      <c r="H459" s="5"/>
      <c r="K459" s="6" t="n">
        <f aca="false">I459-J459</f>
        <v>0</v>
      </c>
      <c r="L459" s="5" t="n">
        <f aca="false">K459*H459</f>
        <v>0</v>
      </c>
      <c r="M459" s="5" t="str">
        <f aca="false">IF(A459="","",H459*J459)</f>
        <v/>
      </c>
      <c r="N459" s="5" t="str">
        <f aca="false">IF(A459="","",G459*J459)</f>
        <v/>
      </c>
      <c r="O459" s="5" t="str">
        <f aca="false">IF(A459="","",M459-N459)</f>
        <v/>
      </c>
    </row>
    <row r="460" customFormat="false" ht="15.75" hidden="false" customHeight="true" outlineLevel="0" collapsed="false">
      <c r="E460" s="3"/>
      <c r="F460" s="4"/>
      <c r="G460" s="5"/>
      <c r="H460" s="5"/>
      <c r="K460" s="6" t="n">
        <f aca="false">I460-J460</f>
        <v>0</v>
      </c>
      <c r="L460" s="5" t="n">
        <f aca="false">K460*H460</f>
        <v>0</v>
      </c>
      <c r="M460" s="5" t="str">
        <f aca="false">IF(A460="","",H460*J460)</f>
        <v/>
      </c>
      <c r="N460" s="5" t="str">
        <f aca="false">IF(A460="","",G460*J460)</f>
        <v/>
      </c>
      <c r="O460" s="5" t="str">
        <f aca="false">IF(A460="","",M460-N460)</f>
        <v/>
      </c>
    </row>
    <row r="461" customFormat="false" ht="15.75" hidden="false" customHeight="true" outlineLevel="0" collapsed="false">
      <c r="E461" s="3"/>
      <c r="F461" s="4"/>
      <c r="G461" s="5"/>
      <c r="H461" s="5"/>
      <c r="K461" s="6" t="n">
        <f aca="false">I461-J461</f>
        <v>0</v>
      </c>
      <c r="L461" s="5" t="n">
        <f aca="false">K461*H461</f>
        <v>0</v>
      </c>
      <c r="M461" s="5" t="str">
        <f aca="false">IF(A461="","",H461*J461)</f>
        <v/>
      </c>
      <c r="N461" s="5" t="str">
        <f aca="false">IF(A461="","",G461*J461)</f>
        <v/>
      </c>
      <c r="O461" s="5" t="str">
        <f aca="false">IF(A461="","",M461-N461)</f>
        <v/>
      </c>
    </row>
    <row r="462" customFormat="false" ht="15.75" hidden="false" customHeight="true" outlineLevel="0" collapsed="false">
      <c r="E462" s="3"/>
      <c r="F462" s="4"/>
      <c r="G462" s="5"/>
      <c r="H462" s="5"/>
      <c r="K462" s="6" t="n">
        <f aca="false">I462-J462</f>
        <v>0</v>
      </c>
      <c r="L462" s="5" t="n">
        <f aca="false">K462*H462</f>
        <v>0</v>
      </c>
      <c r="M462" s="5" t="str">
        <f aca="false">IF(A462="","",H462*J462)</f>
        <v/>
      </c>
      <c r="N462" s="5" t="str">
        <f aca="false">IF(A462="","",G462*J462)</f>
        <v/>
      </c>
      <c r="O462" s="5" t="str">
        <f aca="false">IF(A462="","",M462-N462)</f>
        <v/>
      </c>
    </row>
    <row r="463" customFormat="false" ht="15.75" hidden="false" customHeight="true" outlineLevel="0" collapsed="false">
      <c r="E463" s="3"/>
      <c r="F463" s="4"/>
      <c r="G463" s="5"/>
      <c r="H463" s="5"/>
      <c r="K463" s="6" t="n">
        <f aca="false">I463-J463</f>
        <v>0</v>
      </c>
      <c r="L463" s="5" t="n">
        <f aca="false">K463*H463</f>
        <v>0</v>
      </c>
      <c r="M463" s="5" t="str">
        <f aca="false">IF(A463="","",H463*J463)</f>
        <v/>
      </c>
      <c r="N463" s="5" t="str">
        <f aca="false">IF(A463="","",G463*J463)</f>
        <v/>
      </c>
      <c r="O463" s="5" t="str">
        <f aca="false">IF(A463="","",M463-N463)</f>
        <v/>
      </c>
    </row>
    <row r="464" customFormat="false" ht="15.75" hidden="false" customHeight="true" outlineLevel="0" collapsed="false">
      <c r="E464" s="3"/>
      <c r="F464" s="4"/>
      <c r="G464" s="5"/>
      <c r="H464" s="5"/>
      <c r="K464" s="6" t="n">
        <f aca="false">I464-J464</f>
        <v>0</v>
      </c>
      <c r="L464" s="5" t="n">
        <f aca="false">K464*H464</f>
        <v>0</v>
      </c>
      <c r="M464" s="5" t="str">
        <f aca="false">IF(A464="","",H464*J464)</f>
        <v/>
      </c>
      <c r="N464" s="5" t="str">
        <f aca="false">IF(A464="","",G464*J464)</f>
        <v/>
      </c>
      <c r="O464" s="5" t="str">
        <f aca="false">IF(A464="","",M464-N464)</f>
        <v/>
      </c>
    </row>
    <row r="465" customFormat="false" ht="15.75" hidden="false" customHeight="true" outlineLevel="0" collapsed="false">
      <c r="E465" s="3"/>
      <c r="F465" s="4"/>
      <c r="G465" s="5"/>
      <c r="H465" s="5"/>
      <c r="K465" s="6" t="n">
        <f aca="false">I465-J465</f>
        <v>0</v>
      </c>
      <c r="L465" s="5" t="n">
        <f aca="false">K465*H465</f>
        <v>0</v>
      </c>
      <c r="M465" s="5" t="str">
        <f aca="false">IF(A465="","",H465*J465)</f>
        <v/>
      </c>
      <c r="N465" s="5" t="str">
        <f aca="false">IF(A465="","",G465*J465)</f>
        <v/>
      </c>
      <c r="O465" s="5" t="str">
        <f aca="false">IF(A465="","",M465-N465)</f>
        <v/>
      </c>
    </row>
    <row r="466" customFormat="false" ht="15.75" hidden="false" customHeight="true" outlineLevel="0" collapsed="false">
      <c r="E466" s="3"/>
      <c r="F466" s="4"/>
      <c r="G466" s="5"/>
      <c r="H466" s="5"/>
      <c r="K466" s="6" t="n">
        <f aca="false">I466-J466</f>
        <v>0</v>
      </c>
      <c r="L466" s="5" t="n">
        <f aca="false">K466*H466</f>
        <v>0</v>
      </c>
      <c r="M466" s="5" t="str">
        <f aca="false">IF(A466="","",H466*J466)</f>
        <v/>
      </c>
      <c r="N466" s="5" t="str">
        <f aca="false">IF(A466="","",G466*J466)</f>
        <v/>
      </c>
      <c r="O466" s="5" t="str">
        <f aca="false">IF(A466="","",M466-N466)</f>
        <v/>
      </c>
    </row>
    <row r="467" customFormat="false" ht="15.75" hidden="false" customHeight="true" outlineLevel="0" collapsed="false">
      <c r="E467" s="3"/>
      <c r="F467" s="4"/>
      <c r="G467" s="5"/>
      <c r="H467" s="5"/>
      <c r="K467" s="6" t="n">
        <f aca="false">I467-J467</f>
        <v>0</v>
      </c>
      <c r="L467" s="5" t="n">
        <f aca="false">K467*H467</f>
        <v>0</v>
      </c>
      <c r="M467" s="5" t="str">
        <f aca="false">IF(A467="","",H467*J467)</f>
        <v/>
      </c>
      <c r="N467" s="5" t="str">
        <f aca="false">IF(A467="","",G467*J467)</f>
        <v/>
      </c>
      <c r="O467" s="5" t="str">
        <f aca="false">IF(A467="","",M467-N467)</f>
        <v/>
      </c>
    </row>
    <row r="468" customFormat="false" ht="15.75" hidden="false" customHeight="true" outlineLevel="0" collapsed="false">
      <c r="E468" s="3"/>
      <c r="F468" s="4"/>
      <c r="G468" s="5"/>
      <c r="H468" s="5"/>
      <c r="K468" s="6" t="n">
        <f aca="false">I468-J468</f>
        <v>0</v>
      </c>
      <c r="L468" s="5" t="n">
        <f aca="false">K468*H468</f>
        <v>0</v>
      </c>
      <c r="M468" s="5" t="str">
        <f aca="false">IF(A468="","",H468*J468)</f>
        <v/>
      </c>
      <c r="N468" s="5" t="str">
        <f aca="false">IF(A468="","",G468*J468)</f>
        <v/>
      </c>
      <c r="O468" s="5" t="str">
        <f aca="false">IF(A468="","",M468-N468)</f>
        <v/>
      </c>
    </row>
    <row r="469" customFormat="false" ht="15.75" hidden="false" customHeight="true" outlineLevel="0" collapsed="false">
      <c r="E469" s="3"/>
      <c r="F469" s="4"/>
      <c r="G469" s="5"/>
      <c r="H469" s="5"/>
      <c r="K469" s="6" t="n">
        <f aca="false">I469-J469</f>
        <v>0</v>
      </c>
      <c r="L469" s="5" t="n">
        <f aca="false">K469*H469</f>
        <v>0</v>
      </c>
      <c r="M469" s="5" t="str">
        <f aca="false">IF(A469="","",H469*J469)</f>
        <v/>
      </c>
      <c r="N469" s="5" t="str">
        <f aca="false">IF(A469="","",G469*J469)</f>
        <v/>
      </c>
      <c r="O469" s="5" t="str">
        <f aca="false">IF(A469="","",M469-N469)</f>
        <v/>
      </c>
    </row>
    <row r="470" customFormat="false" ht="15.75" hidden="false" customHeight="true" outlineLevel="0" collapsed="false">
      <c r="E470" s="3"/>
      <c r="F470" s="4"/>
      <c r="G470" s="5"/>
      <c r="H470" s="5"/>
      <c r="K470" s="6" t="n">
        <f aca="false">I470-J470</f>
        <v>0</v>
      </c>
      <c r="L470" s="5" t="n">
        <f aca="false">K470*H470</f>
        <v>0</v>
      </c>
      <c r="M470" s="5" t="str">
        <f aca="false">IF(A470="","",H470*J470)</f>
        <v/>
      </c>
      <c r="N470" s="5" t="str">
        <f aca="false">IF(A470="","",G470*J470)</f>
        <v/>
      </c>
      <c r="O470" s="5" t="str">
        <f aca="false">IF(A470="","",M470-N470)</f>
        <v/>
      </c>
    </row>
    <row r="471" customFormat="false" ht="15.75" hidden="false" customHeight="true" outlineLevel="0" collapsed="false">
      <c r="E471" s="3"/>
      <c r="F471" s="4"/>
      <c r="G471" s="5"/>
      <c r="H471" s="5"/>
      <c r="K471" s="6" t="n">
        <f aca="false">I471-J471</f>
        <v>0</v>
      </c>
      <c r="L471" s="5" t="n">
        <f aca="false">K471*H471</f>
        <v>0</v>
      </c>
      <c r="M471" s="5" t="str">
        <f aca="false">IF(A471="","",H471*J471)</f>
        <v/>
      </c>
      <c r="N471" s="5" t="str">
        <f aca="false">IF(A471="","",G471*J471)</f>
        <v/>
      </c>
      <c r="O471" s="5" t="str">
        <f aca="false">IF(A471="","",M471-N471)</f>
        <v/>
      </c>
    </row>
    <row r="472" customFormat="false" ht="15.75" hidden="false" customHeight="true" outlineLevel="0" collapsed="false">
      <c r="E472" s="3"/>
      <c r="F472" s="4"/>
      <c r="G472" s="5"/>
      <c r="H472" s="5"/>
      <c r="K472" s="6" t="n">
        <f aca="false">I472-J472</f>
        <v>0</v>
      </c>
      <c r="L472" s="5" t="n">
        <f aca="false">K472*H472</f>
        <v>0</v>
      </c>
      <c r="M472" s="5" t="str">
        <f aca="false">IF(A472="","",H472*J472)</f>
        <v/>
      </c>
      <c r="N472" s="5" t="str">
        <f aca="false">IF(A472="","",G472*J472)</f>
        <v/>
      </c>
      <c r="O472" s="5" t="str">
        <f aca="false">IF(A472="","",M472-N472)</f>
        <v/>
      </c>
    </row>
    <row r="473" customFormat="false" ht="15.75" hidden="false" customHeight="true" outlineLevel="0" collapsed="false">
      <c r="E473" s="3"/>
      <c r="F473" s="4"/>
      <c r="G473" s="5"/>
      <c r="H473" s="5"/>
      <c r="K473" s="6" t="n">
        <f aca="false">I473-J473</f>
        <v>0</v>
      </c>
      <c r="L473" s="5" t="n">
        <f aca="false">K473*H473</f>
        <v>0</v>
      </c>
      <c r="M473" s="5" t="str">
        <f aca="false">IF(A473="","",H473*J473)</f>
        <v/>
      </c>
      <c r="N473" s="5" t="str">
        <f aca="false">IF(A473="","",G473*J473)</f>
        <v/>
      </c>
      <c r="O473" s="5" t="str">
        <f aca="false">IF(A473="","",M473-N473)</f>
        <v/>
      </c>
    </row>
    <row r="474" customFormat="false" ht="15.75" hidden="false" customHeight="true" outlineLevel="0" collapsed="false">
      <c r="E474" s="3"/>
      <c r="F474" s="4"/>
      <c r="G474" s="5"/>
      <c r="H474" s="5"/>
      <c r="K474" s="6" t="n">
        <f aca="false">I474-J474</f>
        <v>0</v>
      </c>
      <c r="L474" s="5" t="n">
        <f aca="false">K474*H474</f>
        <v>0</v>
      </c>
      <c r="M474" s="5" t="str">
        <f aca="false">IF(A474="","",H474*J474)</f>
        <v/>
      </c>
      <c r="N474" s="5" t="str">
        <f aca="false">IF(A474="","",G474*J474)</f>
        <v/>
      </c>
      <c r="O474" s="5" t="str">
        <f aca="false">IF(A474="","",M474-N474)</f>
        <v/>
      </c>
    </row>
    <row r="475" customFormat="false" ht="15.75" hidden="false" customHeight="true" outlineLevel="0" collapsed="false">
      <c r="E475" s="3"/>
      <c r="F475" s="4"/>
      <c r="G475" s="5"/>
      <c r="H475" s="5"/>
      <c r="K475" s="6" t="n">
        <f aca="false">I475-J475</f>
        <v>0</v>
      </c>
      <c r="L475" s="5" t="n">
        <f aca="false">K475*H475</f>
        <v>0</v>
      </c>
      <c r="M475" s="5" t="str">
        <f aca="false">IF(A475="","",H475*J475)</f>
        <v/>
      </c>
      <c r="N475" s="5" t="str">
        <f aca="false">IF(A475="","",G475*J475)</f>
        <v/>
      </c>
      <c r="O475" s="5" t="str">
        <f aca="false">IF(A475="","",M475-N475)</f>
        <v/>
      </c>
    </row>
    <row r="476" customFormat="false" ht="15.75" hidden="false" customHeight="true" outlineLevel="0" collapsed="false">
      <c r="E476" s="3"/>
      <c r="F476" s="4"/>
      <c r="G476" s="5"/>
      <c r="H476" s="5"/>
      <c r="K476" s="6" t="n">
        <f aca="false">I476-J476</f>
        <v>0</v>
      </c>
      <c r="L476" s="5" t="n">
        <f aca="false">K476*H476</f>
        <v>0</v>
      </c>
      <c r="M476" s="5" t="str">
        <f aca="false">IF(A476="","",H476*J476)</f>
        <v/>
      </c>
      <c r="N476" s="5" t="str">
        <f aca="false">IF(A476="","",G476*J476)</f>
        <v/>
      </c>
      <c r="O476" s="5" t="str">
        <f aca="false">IF(A476="","",M476-N476)</f>
        <v/>
      </c>
    </row>
    <row r="477" customFormat="false" ht="15.75" hidden="false" customHeight="true" outlineLevel="0" collapsed="false">
      <c r="E477" s="3"/>
      <c r="F477" s="4"/>
      <c r="G477" s="5"/>
      <c r="H477" s="5"/>
      <c r="K477" s="6" t="n">
        <f aca="false">I477-J477</f>
        <v>0</v>
      </c>
      <c r="L477" s="5" t="n">
        <f aca="false">K477*H477</f>
        <v>0</v>
      </c>
      <c r="M477" s="5" t="str">
        <f aca="false">IF(A477="","",H477*J477)</f>
        <v/>
      </c>
      <c r="N477" s="5" t="str">
        <f aca="false">IF(A477="","",G477*J477)</f>
        <v/>
      </c>
      <c r="O477" s="5" t="str">
        <f aca="false">IF(A477="","",M477-N477)</f>
        <v/>
      </c>
    </row>
    <row r="478" customFormat="false" ht="15.75" hidden="false" customHeight="true" outlineLevel="0" collapsed="false">
      <c r="E478" s="3"/>
      <c r="F478" s="4"/>
      <c r="G478" s="5"/>
      <c r="H478" s="5"/>
      <c r="K478" s="6" t="n">
        <f aca="false">I478-J478</f>
        <v>0</v>
      </c>
      <c r="L478" s="5" t="n">
        <f aca="false">K478*H478</f>
        <v>0</v>
      </c>
      <c r="M478" s="5" t="str">
        <f aca="false">IF(A478="","",H478*J478)</f>
        <v/>
      </c>
      <c r="N478" s="5" t="str">
        <f aca="false">IF(A478="","",G478*J478)</f>
        <v/>
      </c>
      <c r="O478" s="5" t="str">
        <f aca="false">IF(A478="","",M478-N478)</f>
        <v/>
      </c>
    </row>
    <row r="479" customFormat="false" ht="15.75" hidden="false" customHeight="true" outlineLevel="0" collapsed="false">
      <c r="E479" s="3"/>
      <c r="F479" s="4"/>
      <c r="G479" s="5"/>
      <c r="H479" s="5"/>
      <c r="K479" s="6" t="n">
        <f aca="false">I479-J479</f>
        <v>0</v>
      </c>
      <c r="L479" s="5" t="n">
        <f aca="false">K479*H479</f>
        <v>0</v>
      </c>
      <c r="M479" s="5" t="str">
        <f aca="false">IF(A479="","",H479*J479)</f>
        <v/>
      </c>
      <c r="N479" s="5" t="str">
        <f aca="false">IF(A479="","",G479*J479)</f>
        <v/>
      </c>
      <c r="O479" s="5" t="str">
        <f aca="false">IF(A479="","",M479-N479)</f>
        <v/>
      </c>
    </row>
    <row r="480" customFormat="false" ht="15.75" hidden="false" customHeight="true" outlineLevel="0" collapsed="false">
      <c r="E480" s="3"/>
      <c r="F480" s="4"/>
      <c r="G480" s="5"/>
      <c r="H480" s="5"/>
      <c r="K480" s="6" t="n">
        <f aca="false">I480-J480</f>
        <v>0</v>
      </c>
      <c r="L480" s="5" t="n">
        <f aca="false">K480*H480</f>
        <v>0</v>
      </c>
      <c r="M480" s="5" t="str">
        <f aca="false">IF(A480="","",H480*J480)</f>
        <v/>
      </c>
      <c r="N480" s="5" t="str">
        <f aca="false">IF(A480="","",G480*J480)</f>
        <v/>
      </c>
      <c r="O480" s="5" t="str">
        <f aca="false">IF(A480="","",M480-N480)</f>
        <v/>
      </c>
    </row>
    <row r="481" customFormat="false" ht="15.75" hidden="false" customHeight="true" outlineLevel="0" collapsed="false">
      <c r="E481" s="3"/>
      <c r="F481" s="4"/>
      <c r="G481" s="5"/>
      <c r="H481" s="5"/>
      <c r="K481" s="6" t="n">
        <f aca="false">I481-J481</f>
        <v>0</v>
      </c>
      <c r="L481" s="5" t="n">
        <f aca="false">K481*H481</f>
        <v>0</v>
      </c>
      <c r="M481" s="5" t="str">
        <f aca="false">IF(A481="","",H481*J481)</f>
        <v/>
      </c>
      <c r="N481" s="5" t="str">
        <f aca="false">IF(A481="","",G481*J481)</f>
        <v/>
      </c>
      <c r="O481" s="5" t="str">
        <f aca="false">IF(A481="","",M481-N481)</f>
        <v/>
      </c>
    </row>
    <row r="482" customFormat="false" ht="15.75" hidden="false" customHeight="true" outlineLevel="0" collapsed="false">
      <c r="E482" s="3"/>
      <c r="F482" s="4"/>
      <c r="G482" s="5"/>
      <c r="H482" s="5"/>
      <c r="K482" s="6" t="n">
        <f aca="false">I482-J482</f>
        <v>0</v>
      </c>
      <c r="L482" s="5" t="n">
        <f aca="false">K482*H482</f>
        <v>0</v>
      </c>
      <c r="M482" s="5" t="str">
        <f aca="false">IF(A482="","",H482*J482)</f>
        <v/>
      </c>
      <c r="N482" s="5" t="str">
        <f aca="false">IF(A482="","",G482*J482)</f>
        <v/>
      </c>
      <c r="O482" s="5" t="str">
        <f aca="false">IF(A482="","",M482-N482)</f>
        <v/>
      </c>
    </row>
    <row r="483" customFormat="false" ht="15.75" hidden="false" customHeight="true" outlineLevel="0" collapsed="false">
      <c r="E483" s="3"/>
      <c r="F483" s="4"/>
      <c r="G483" s="5"/>
      <c r="H483" s="5"/>
      <c r="K483" s="6" t="n">
        <f aca="false">I483-J483</f>
        <v>0</v>
      </c>
      <c r="L483" s="5" t="n">
        <f aca="false">K483*H483</f>
        <v>0</v>
      </c>
      <c r="M483" s="5" t="str">
        <f aca="false">IF(A483="","",H483*J483)</f>
        <v/>
      </c>
      <c r="N483" s="5" t="str">
        <f aca="false">IF(A483="","",G483*J483)</f>
        <v/>
      </c>
      <c r="O483" s="5" t="str">
        <f aca="false">IF(A483="","",M483-N483)</f>
        <v/>
      </c>
    </row>
    <row r="484" customFormat="false" ht="15.75" hidden="false" customHeight="true" outlineLevel="0" collapsed="false">
      <c r="E484" s="3"/>
      <c r="F484" s="4"/>
      <c r="G484" s="5"/>
      <c r="H484" s="5"/>
      <c r="K484" s="6" t="n">
        <f aca="false">I484-J484</f>
        <v>0</v>
      </c>
      <c r="L484" s="5" t="n">
        <f aca="false">K484*H484</f>
        <v>0</v>
      </c>
      <c r="M484" s="5" t="str">
        <f aca="false">IF(A484="","",H484*J484)</f>
        <v/>
      </c>
      <c r="N484" s="5" t="str">
        <f aca="false">IF(A484="","",G484*J484)</f>
        <v/>
      </c>
      <c r="O484" s="5" t="str">
        <f aca="false">IF(A484="","",M484-N484)</f>
        <v/>
      </c>
    </row>
    <row r="485" customFormat="false" ht="15.75" hidden="false" customHeight="true" outlineLevel="0" collapsed="false">
      <c r="E485" s="3"/>
      <c r="F485" s="4"/>
      <c r="G485" s="5"/>
      <c r="H485" s="5"/>
      <c r="K485" s="6" t="n">
        <f aca="false">I485-J485</f>
        <v>0</v>
      </c>
      <c r="L485" s="5" t="n">
        <f aca="false">K485*H485</f>
        <v>0</v>
      </c>
      <c r="M485" s="5" t="str">
        <f aca="false">IF(A485="","",H485*J485)</f>
        <v/>
      </c>
      <c r="N485" s="5" t="str">
        <f aca="false">IF(A485="","",G485*J485)</f>
        <v/>
      </c>
      <c r="O485" s="5" t="str">
        <f aca="false">IF(A485="","",M485-N485)</f>
        <v/>
      </c>
    </row>
    <row r="486" customFormat="false" ht="15.75" hidden="false" customHeight="true" outlineLevel="0" collapsed="false">
      <c r="E486" s="3"/>
      <c r="F486" s="4"/>
      <c r="G486" s="5"/>
      <c r="H486" s="5"/>
      <c r="K486" s="6" t="n">
        <f aca="false">I486-J486</f>
        <v>0</v>
      </c>
      <c r="L486" s="5" t="n">
        <f aca="false">K486*H486</f>
        <v>0</v>
      </c>
      <c r="M486" s="5" t="str">
        <f aca="false">IF(A486="","",H486*J486)</f>
        <v/>
      </c>
      <c r="N486" s="5" t="str">
        <f aca="false">IF(A486="","",G486*J486)</f>
        <v/>
      </c>
      <c r="O486" s="5" t="str">
        <f aca="false">IF(A486="","",M486-N486)</f>
        <v/>
      </c>
    </row>
    <row r="487" customFormat="false" ht="15.75" hidden="false" customHeight="true" outlineLevel="0" collapsed="false">
      <c r="E487" s="3"/>
      <c r="F487" s="4"/>
      <c r="G487" s="5"/>
      <c r="H487" s="5"/>
      <c r="K487" s="6" t="n">
        <f aca="false">I487-J487</f>
        <v>0</v>
      </c>
      <c r="L487" s="5" t="n">
        <f aca="false">K487*H487</f>
        <v>0</v>
      </c>
      <c r="M487" s="5" t="str">
        <f aca="false">IF(A487="","",H487*J487)</f>
        <v/>
      </c>
      <c r="N487" s="5" t="str">
        <f aca="false">IF(A487="","",G487*J487)</f>
        <v/>
      </c>
      <c r="O487" s="5" t="str">
        <f aca="false">IF(A487="","",M487-N487)</f>
        <v/>
      </c>
    </row>
    <row r="488" customFormat="false" ht="15.75" hidden="false" customHeight="true" outlineLevel="0" collapsed="false">
      <c r="E488" s="3"/>
      <c r="F488" s="4"/>
      <c r="G488" s="5"/>
      <c r="H488" s="5"/>
      <c r="K488" s="6" t="n">
        <f aca="false">I488-J488</f>
        <v>0</v>
      </c>
      <c r="L488" s="5" t="n">
        <f aca="false">K488*H488</f>
        <v>0</v>
      </c>
      <c r="M488" s="5" t="str">
        <f aca="false">IF(A488="","",H488*J488)</f>
        <v/>
      </c>
      <c r="N488" s="5" t="str">
        <f aca="false">IF(A488="","",G488*J488)</f>
        <v/>
      </c>
      <c r="O488" s="5" t="str">
        <f aca="false">IF(A488="","",M488-N488)</f>
        <v/>
      </c>
    </row>
    <row r="489" customFormat="false" ht="15.75" hidden="false" customHeight="true" outlineLevel="0" collapsed="false">
      <c r="E489" s="3"/>
      <c r="F489" s="4"/>
      <c r="G489" s="5"/>
      <c r="H489" s="5"/>
      <c r="K489" s="6" t="n">
        <f aca="false">I489-J489</f>
        <v>0</v>
      </c>
      <c r="L489" s="5" t="n">
        <f aca="false">K489*H489</f>
        <v>0</v>
      </c>
      <c r="M489" s="5" t="str">
        <f aca="false">IF(A489="","",H489*J489)</f>
        <v/>
      </c>
      <c r="N489" s="5" t="str">
        <f aca="false">IF(A489="","",G489*J489)</f>
        <v/>
      </c>
      <c r="O489" s="5" t="str">
        <f aca="false">IF(A489="","",M489-N489)</f>
        <v/>
      </c>
    </row>
    <row r="490" customFormat="false" ht="15.75" hidden="false" customHeight="true" outlineLevel="0" collapsed="false">
      <c r="E490" s="3"/>
      <c r="F490" s="4"/>
      <c r="G490" s="5"/>
      <c r="H490" s="5"/>
      <c r="K490" s="6" t="n">
        <f aca="false">I490-J490</f>
        <v>0</v>
      </c>
      <c r="L490" s="5" t="n">
        <f aca="false">K490*H490</f>
        <v>0</v>
      </c>
      <c r="M490" s="5" t="str">
        <f aca="false">IF(A490="","",H490*J490)</f>
        <v/>
      </c>
      <c r="N490" s="5" t="str">
        <f aca="false">IF(A490="","",G490*J490)</f>
        <v/>
      </c>
      <c r="O490" s="5" t="str">
        <f aca="false">IF(A490="","",M490-N490)</f>
        <v/>
      </c>
    </row>
    <row r="491" customFormat="false" ht="15.75" hidden="false" customHeight="true" outlineLevel="0" collapsed="false">
      <c r="E491" s="3"/>
      <c r="F491" s="4"/>
      <c r="G491" s="5"/>
      <c r="H491" s="5"/>
      <c r="K491" s="6" t="n">
        <f aca="false">I491-J491</f>
        <v>0</v>
      </c>
      <c r="L491" s="5" t="n">
        <f aca="false">K491*H491</f>
        <v>0</v>
      </c>
      <c r="M491" s="5" t="str">
        <f aca="false">IF(A491="","",H491*J491)</f>
        <v/>
      </c>
      <c r="N491" s="5" t="str">
        <f aca="false">IF(A491="","",G491*J491)</f>
        <v/>
      </c>
      <c r="O491" s="5" t="str">
        <f aca="false">IF(A491="","",M491-N491)</f>
        <v/>
      </c>
    </row>
    <row r="492" customFormat="false" ht="15.75" hidden="false" customHeight="true" outlineLevel="0" collapsed="false">
      <c r="E492" s="3"/>
      <c r="F492" s="4"/>
      <c r="G492" s="5"/>
      <c r="H492" s="5"/>
      <c r="K492" s="6" t="n">
        <f aca="false">I492-J492</f>
        <v>0</v>
      </c>
      <c r="L492" s="5" t="n">
        <f aca="false">K492*H492</f>
        <v>0</v>
      </c>
      <c r="M492" s="5" t="str">
        <f aca="false">IF(A492="","",H492*J492)</f>
        <v/>
      </c>
      <c r="N492" s="5" t="str">
        <f aca="false">IF(A492="","",G492*J492)</f>
        <v/>
      </c>
      <c r="O492" s="5" t="str">
        <f aca="false">IF(A492="","",M492-N492)</f>
        <v/>
      </c>
    </row>
    <row r="493" customFormat="false" ht="15.75" hidden="false" customHeight="true" outlineLevel="0" collapsed="false">
      <c r="E493" s="3"/>
      <c r="F493" s="4"/>
      <c r="G493" s="5"/>
      <c r="H493" s="5"/>
      <c r="K493" s="6" t="n">
        <f aca="false">I493-J493</f>
        <v>0</v>
      </c>
      <c r="L493" s="5" t="n">
        <f aca="false">K493*H493</f>
        <v>0</v>
      </c>
      <c r="M493" s="5" t="str">
        <f aca="false">IF(A493="","",H493*J493)</f>
        <v/>
      </c>
      <c r="N493" s="5" t="str">
        <f aca="false">IF(A493="","",G493*J493)</f>
        <v/>
      </c>
      <c r="O493" s="5" t="str">
        <f aca="false">IF(A493="","",M493-N493)</f>
        <v/>
      </c>
    </row>
    <row r="494" customFormat="false" ht="15.75" hidden="false" customHeight="true" outlineLevel="0" collapsed="false">
      <c r="E494" s="3"/>
      <c r="F494" s="4"/>
      <c r="G494" s="5"/>
      <c r="H494" s="5"/>
      <c r="K494" s="6" t="n">
        <f aca="false">I494-J494</f>
        <v>0</v>
      </c>
      <c r="L494" s="5" t="n">
        <f aca="false">K494*H494</f>
        <v>0</v>
      </c>
      <c r="M494" s="5" t="str">
        <f aca="false">IF(A494="","",H494*J494)</f>
        <v/>
      </c>
      <c r="N494" s="5" t="str">
        <f aca="false">IF(A494="","",G494*J494)</f>
        <v/>
      </c>
      <c r="O494" s="5" t="str">
        <f aca="false">IF(A494="","",M494-N494)</f>
        <v/>
      </c>
    </row>
    <row r="495" customFormat="false" ht="15.75" hidden="false" customHeight="true" outlineLevel="0" collapsed="false">
      <c r="E495" s="3"/>
      <c r="F495" s="4"/>
      <c r="G495" s="5"/>
      <c r="H495" s="5"/>
      <c r="K495" s="6" t="n">
        <f aca="false">I495-J495</f>
        <v>0</v>
      </c>
      <c r="L495" s="5" t="n">
        <f aca="false">K495*H495</f>
        <v>0</v>
      </c>
      <c r="M495" s="5" t="str">
        <f aca="false">IF(A495="","",H495*J495)</f>
        <v/>
      </c>
      <c r="N495" s="5" t="str">
        <f aca="false">IF(A495="","",G495*J495)</f>
        <v/>
      </c>
      <c r="O495" s="5" t="str">
        <f aca="false">IF(A495="","",M495-N495)</f>
        <v/>
      </c>
    </row>
    <row r="496" customFormat="false" ht="15.75" hidden="false" customHeight="true" outlineLevel="0" collapsed="false">
      <c r="E496" s="3"/>
      <c r="F496" s="4"/>
      <c r="G496" s="5"/>
      <c r="H496" s="5"/>
      <c r="K496" s="6" t="n">
        <f aca="false">I496-J496</f>
        <v>0</v>
      </c>
      <c r="L496" s="5" t="n">
        <f aca="false">K496*H496</f>
        <v>0</v>
      </c>
      <c r="M496" s="5" t="str">
        <f aca="false">IF(A496="","",H496*J496)</f>
        <v/>
      </c>
      <c r="N496" s="5" t="str">
        <f aca="false">IF(A496="","",G496*J496)</f>
        <v/>
      </c>
      <c r="O496" s="5" t="str">
        <f aca="false">IF(A496="","",M496-N496)</f>
        <v/>
      </c>
    </row>
    <row r="497" customFormat="false" ht="15.75" hidden="false" customHeight="true" outlineLevel="0" collapsed="false">
      <c r="E497" s="3"/>
      <c r="F497" s="4"/>
      <c r="G497" s="5"/>
      <c r="H497" s="5"/>
      <c r="K497" s="6" t="n">
        <f aca="false">I497-J497</f>
        <v>0</v>
      </c>
      <c r="L497" s="5" t="n">
        <f aca="false">K497*H497</f>
        <v>0</v>
      </c>
      <c r="M497" s="5" t="str">
        <f aca="false">IF(A497="","",H497*J497)</f>
        <v/>
      </c>
      <c r="N497" s="5" t="str">
        <f aca="false">IF(A497="","",G497*J497)</f>
        <v/>
      </c>
      <c r="O497" s="5" t="str">
        <f aca="false">IF(A497="","",M497-N497)</f>
        <v/>
      </c>
    </row>
    <row r="498" customFormat="false" ht="15.75" hidden="false" customHeight="true" outlineLevel="0" collapsed="false">
      <c r="E498" s="3"/>
      <c r="F498" s="4"/>
      <c r="G498" s="5"/>
      <c r="H498" s="5"/>
      <c r="K498" s="6" t="n">
        <f aca="false">I498-J498</f>
        <v>0</v>
      </c>
      <c r="L498" s="5" t="n">
        <f aca="false">K498*H498</f>
        <v>0</v>
      </c>
      <c r="M498" s="5" t="str">
        <f aca="false">IF(A498="","",H498*J498)</f>
        <v/>
      </c>
      <c r="N498" s="5" t="str">
        <f aca="false">IF(A498="","",G498*J498)</f>
        <v/>
      </c>
      <c r="O498" s="5" t="str">
        <f aca="false">IF(A498="","",M498-N498)</f>
        <v/>
      </c>
    </row>
    <row r="499" customFormat="false" ht="15.75" hidden="false" customHeight="true" outlineLevel="0" collapsed="false">
      <c r="E499" s="3"/>
      <c r="F499" s="4"/>
      <c r="G499" s="5"/>
      <c r="H499" s="5"/>
      <c r="K499" s="6" t="n">
        <f aca="false">I499-J499</f>
        <v>0</v>
      </c>
      <c r="L499" s="5" t="n">
        <f aca="false">K499*H499</f>
        <v>0</v>
      </c>
      <c r="M499" s="5" t="str">
        <f aca="false">IF(A499="","",H499*J499)</f>
        <v/>
      </c>
      <c r="N499" s="5" t="str">
        <f aca="false">IF(A499="","",G499*J499)</f>
        <v/>
      </c>
      <c r="O499" s="5" t="str">
        <f aca="false">IF(A499="","",M499-N499)</f>
        <v/>
      </c>
    </row>
    <row r="500" customFormat="false" ht="15.75" hidden="false" customHeight="true" outlineLevel="0" collapsed="false">
      <c r="E500" s="3"/>
      <c r="F500" s="4"/>
      <c r="G500" s="5"/>
      <c r="H500" s="5"/>
      <c r="K500" s="6" t="n">
        <f aca="false">I500-J500</f>
        <v>0</v>
      </c>
      <c r="L500" s="5" t="n">
        <f aca="false">K500*H500</f>
        <v>0</v>
      </c>
      <c r="M500" s="5" t="str">
        <f aca="false">IF(A500="","",H500*J500)</f>
        <v/>
      </c>
      <c r="N500" s="5" t="str">
        <f aca="false">IF(A500="","",G500*J500)</f>
        <v/>
      </c>
      <c r="O500" s="5" t="str">
        <f aca="false">IF(A500="","",M500-N500)</f>
        <v/>
      </c>
    </row>
    <row r="501" customFormat="false" ht="15.75" hidden="false" customHeight="true" outlineLevel="0" collapsed="false">
      <c r="E501" s="3"/>
      <c r="F501" s="4"/>
      <c r="G501" s="5"/>
      <c r="H501" s="5"/>
      <c r="K501" s="6" t="n">
        <f aca="false">I501-J501</f>
        <v>0</v>
      </c>
      <c r="L501" s="5" t="n">
        <f aca="false">K501*H501</f>
        <v>0</v>
      </c>
      <c r="M501" s="5" t="str">
        <f aca="false">IF(A501="","",H501*J501)</f>
        <v/>
      </c>
      <c r="N501" s="5" t="str">
        <f aca="false">IF(A501="","",G501*J501)</f>
        <v/>
      </c>
      <c r="O501" s="5" t="str">
        <f aca="false">IF(A501="","",M501-N501)</f>
        <v/>
      </c>
    </row>
    <row r="502" customFormat="false" ht="15.75" hidden="false" customHeight="true" outlineLevel="0" collapsed="false">
      <c r="L502" s="5" t="n">
        <f aca="false">SUM(L2:L501)</f>
        <v>13926450</v>
      </c>
    </row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P502"/>
  <conditionalFormatting sqref="K2:K501">
    <cfRule type="cellIs" priority="2" operator="lessThan" aboveAverage="0" equalAverage="0" bottom="0" percent="0" rank="0" text="" dxfId="5">
      <formula>0</formula>
    </cfRule>
    <cfRule type="cellIs" priority="3" operator="equal" aboveAverage="0" equalAverage="0" bottom="0" percent="0" rank="0" text="" dxfId="6">
      <formula>0</formula>
    </cfRule>
  </conditionalFormatting>
  <dataValidations count="1">
    <dataValidation allowBlank="true" errorStyle="stop" operator="between" showDropDown="false" showErrorMessage="false" showInputMessage="false" sqref="E2:E501" type="list">
      <formula1>"Фильтры,Тормоза,Подвеска,Двигатель,Электрика,Кузов,Расходники,Другое"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4"/>
  </cols>
  <sheetData>
    <row r="1" customFormat="false" ht="16.15" hidden="false" customHeight="false" outlineLevel="0" collapsed="false">
      <c r="A1" s="13" t="s">
        <v>505</v>
      </c>
    </row>
    <row r="3" customFormat="false" ht="15" hidden="false" customHeight="false" outlineLevel="0" collapsed="false">
      <c r="A3" s="7" t="s">
        <v>506</v>
      </c>
      <c r="B3" s="14" t="n">
        <v>5.3</v>
      </c>
    </row>
    <row r="4" customFormat="false" ht="15" hidden="false" customHeight="false" outlineLevel="0" collapsed="false">
      <c r="A4" s="7" t="s">
        <v>507</v>
      </c>
      <c r="B4" s="10" t="n">
        <v>0</v>
      </c>
    </row>
    <row r="5" customFormat="false" ht="15" hidden="false" customHeight="false" outlineLevel="0" collapsed="false">
      <c r="A5" s="7" t="s">
        <v>508</v>
      </c>
      <c r="B5" s="10" t="n">
        <v>0</v>
      </c>
    </row>
    <row r="6" customFormat="false" ht="15" hidden="false" customHeight="false" outlineLevel="0" collapsed="false">
      <c r="A6" s="7" t="s">
        <v>509</v>
      </c>
      <c r="B6" s="8" t="n">
        <v>100</v>
      </c>
    </row>
    <row r="9" customFormat="false" ht="30" hidden="false" customHeight="true" outlineLevel="0" collapsed="false">
      <c r="A9" s="15" t="s">
        <v>510</v>
      </c>
      <c r="B9" s="16" t="s">
        <v>511</v>
      </c>
      <c r="C9" s="16" t="s">
        <v>512</v>
      </c>
      <c r="D9" s="16" t="s">
        <v>513</v>
      </c>
      <c r="E9" s="16" t="s">
        <v>514</v>
      </c>
      <c r="F9" s="16" t="s">
        <v>515</v>
      </c>
      <c r="G9" s="16" t="s">
        <v>516</v>
      </c>
      <c r="H9" s="16" t="s">
        <v>517</v>
      </c>
      <c r="I9" s="16" t="s">
        <v>518</v>
      </c>
      <c r="J9" s="16" t="s">
        <v>519</v>
      </c>
      <c r="K9" s="16" t="s">
        <v>520</v>
      </c>
    </row>
    <row r="10" customFormat="false" ht="15" hidden="false" customHeight="false" outlineLevel="0" collapsed="false">
      <c r="A10" s="7" t="s">
        <v>521</v>
      </c>
      <c r="B10" s="17" t="s">
        <v>522</v>
      </c>
      <c r="C10" s="17" t="s">
        <v>523</v>
      </c>
      <c r="D10" s="17" t="s">
        <v>522</v>
      </c>
      <c r="E10" s="17" t="s">
        <v>522</v>
      </c>
      <c r="F10" s="17" t="s">
        <v>522</v>
      </c>
      <c r="G10" s="17" t="s">
        <v>522</v>
      </c>
      <c r="H10" s="17" t="s">
        <v>522</v>
      </c>
      <c r="I10" s="17" t="s">
        <v>522</v>
      </c>
      <c r="J10" s="17" t="s">
        <v>523</v>
      </c>
      <c r="K10" s="17" t="s">
        <v>523</v>
      </c>
    </row>
    <row r="11" customFormat="false" ht="15" hidden="false" customHeight="false" outlineLevel="0" collapsed="false">
      <c r="A11" s="7" t="s">
        <v>524</v>
      </c>
      <c r="B11" s="18" t="n">
        <f aca="false">IF(B10="RUB",$B$3*(1+$B$4),1)</f>
        <v>5.3</v>
      </c>
      <c r="C11" s="18" t="n">
        <f aca="false">IF(C10="RUB",$B$3*(1+$B$4),1)</f>
        <v>1</v>
      </c>
      <c r="D11" s="18" t="n">
        <f aca="false">IF(D10="RUB",$B$3*(1+$B$4),1)</f>
        <v>5.3</v>
      </c>
      <c r="E11" s="18" t="n">
        <f aca="false">IF(E10="RUB",$B$3*(1+$B$4),1)</f>
        <v>5.3</v>
      </c>
      <c r="F11" s="18" t="n">
        <f aca="false">IF(F10="RUB",$B$3*(1+$B$4),1)</f>
        <v>5.3</v>
      </c>
      <c r="G11" s="18" t="n">
        <f aca="false">IF(G10="RUB",$B$3*(1+$B$4),1)</f>
        <v>5.3</v>
      </c>
      <c r="H11" s="18" t="n">
        <f aca="false">IF(H10="RUB",$B$3*(1+$B$4),1)</f>
        <v>5.3</v>
      </c>
      <c r="I11" s="18" t="n">
        <f aca="false">IF(I10="RUB",$B$3*(1+$B$4),1)</f>
        <v>5.3</v>
      </c>
      <c r="J11" s="18" t="n">
        <f aca="false">IF(J10="RUB",$B$3*(1+$B$4),1)</f>
        <v>1</v>
      </c>
      <c r="K11" s="18" t="n">
        <f aca="false">IF(K10="RUB",$B$3*(1+$B$4),1)</f>
        <v>1</v>
      </c>
    </row>
    <row r="12" customFormat="false" ht="15" hidden="false" customHeight="false" outlineLevel="0" collapsed="false">
      <c r="A12" s="7" t="s">
        <v>525</v>
      </c>
      <c r="B12" s="17" t="n">
        <v>1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  <c r="K12" s="17" t="n">
        <v>1</v>
      </c>
    </row>
    <row r="15" customFormat="false" ht="15" hidden="false" customHeight="false" outlineLevel="0" collapsed="false">
      <c r="A15" s="15" t="s">
        <v>526</v>
      </c>
    </row>
    <row r="16" customFormat="false" ht="15" hidden="false" customHeight="false" outlineLevel="0" collapsed="false">
      <c r="A16" s="19" t="s">
        <v>4</v>
      </c>
      <c r="B16" s="19" t="s">
        <v>527</v>
      </c>
    </row>
    <row r="17" customFormat="false" ht="15" hidden="false" customHeight="false" outlineLevel="0" collapsed="false">
      <c r="A17" s="7" t="s">
        <v>70</v>
      </c>
      <c r="B17" s="10"/>
    </row>
    <row r="18" customFormat="false" ht="15" hidden="false" customHeight="false" outlineLevel="0" collapsed="false">
      <c r="A18" s="7" t="s">
        <v>111</v>
      </c>
      <c r="B18" s="10"/>
    </row>
    <row r="19" customFormat="false" ht="15" hidden="false" customHeight="false" outlineLevel="0" collapsed="false">
      <c r="A19" s="7" t="s">
        <v>135</v>
      </c>
      <c r="B19" s="10"/>
    </row>
    <row r="20" customFormat="false" ht="15" hidden="false" customHeight="false" outlineLevel="0" collapsed="false">
      <c r="A20" s="7" t="s">
        <v>55</v>
      </c>
      <c r="B20" s="10"/>
    </row>
    <row r="21" customFormat="false" ht="15" hidden="false" customHeight="false" outlineLevel="0" collapsed="false">
      <c r="A21" s="7" t="s">
        <v>428</v>
      </c>
      <c r="B21" s="10"/>
    </row>
    <row r="22" customFormat="false" ht="15" hidden="false" customHeight="false" outlineLevel="0" collapsed="false">
      <c r="A22" s="7" t="s">
        <v>37</v>
      </c>
      <c r="B22" s="10"/>
    </row>
    <row r="23" customFormat="false" ht="15" hidden="false" customHeight="false" outlineLevel="0" collapsed="false">
      <c r="A23" s="7" t="s">
        <v>140</v>
      </c>
      <c r="B23" s="10"/>
    </row>
    <row r="24" customFormat="false" ht="15" hidden="false" customHeight="false" outlineLevel="0" collapsed="false">
      <c r="A24" s="7" t="s">
        <v>137</v>
      </c>
      <c r="B24" s="10"/>
    </row>
    <row r="26" customFormat="false" ht="15" hidden="false" customHeight="false" outlineLevel="0" collapsed="false">
      <c r="A26" s="20" t="s"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0.43"/>
    <col collapsed="false" customWidth="true" hidden="false" outlineLevel="0" max="4" min="4" style="0" width="17.15"/>
    <col collapsed="false" customWidth="true" hidden="false" outlineLevel="0" max="26" min="5" style="0" width="8.71"/>
  </cols>
  <sheetData>
    <row r="1" customFormat="false" ht="19.7" hidden="false" customHeight="false" outlineLevel="0" collapsed="false">
      <c r="A1" s="21" t="s">
        <v>529</v>
      </c>
    </row>
    <row r="2" customFormat="false" ht="15" hidden="false" customHeight="false" outlineLevel="0" collapsed="false">
      <c r="A2" s="22" t="s">
        <v>530</v>
      </c>
      <c r="B2" s="23" t="s">
        <v>531</v>
      </c>
    </row>
    <row r="3" customFormat="false" ht="15" hidden="false" customHeight="false" outlineLevel="0" collapsed="false">
      <c r="A3" s="3" t="s">
        <v>532</v>
      </c>
      <c r="B3" s="24" t="n">
        <f aca="false">COUNTIF(Запчасти!B2:B501,"&lt;&gt;")</f>
        <v>278</v>
      </c>
    </row>
    <row r="4" customFormat="false" ht="15" hidden="false" customHeight="false" outlineLevel="0" collapsed="false">
      <c r="A4" s="3" t="s">
        <v>533</v>
      </c>
      <c r="B4" s="25" t="n">
        <f aca="false">SUM(Запчасти!K2:K501)</f>
        <v>2846</v>
      </c>
    </row>
    <row r="5" customFormat="false" ht="15" hidden="false" customHeight="false" outlineLevel="0" collapsed="false">
      <c r="A5" s="3" t="s">
        <v>534</v>
      </c>
      <c r="B5" s="5" t="n">
        <f aca="false">Запчасти!L502</f>
        <v>13926450</v>
      </c>
      <c r="C5" s="26" t="n">
        <f aca="false">B5/450</f>
        <v>30947.6666666667</v>
      </c>
      <c r="D5" s="27" t="s">
        <v>535</v>
      </c>
    </row>
    <row r="6" customFormat="false" ht="15" hidden="false" customHeight="false" outlineLevel="0" collapsed="false">
      <c r="A6" s="3" t="s">
        <v>12</v>
      </c>
      <c r="B6" s="5" t="n">
        <f aca="false">SUM(Запчасти!M2:M501)</f>
        <v>0</v>
      </c>
    </row>
    <row r="7" customFormat="false" ht="15" hidden="false" customHeight="false" outlineLevel="0" collapsed="false">
      <c r="A7" s="3" t="s">
        <v>13</v>
      </c>
      <c r="B7" s="5" t="n">
        <f aca="false">SUM(Запчасти!N2:N501)</f>
        <v>0</v>
      </c>
    </row>
    <row r="8" customFormat="false" ht="15" hidden="false" customHeight="false" outlineLevel="0" collapsed="false">
      <c r="A8" s="3" t="s">
        <v>14</v>
      </c>
      <c r="B8" s="5" t="n">
        <f aca="false">SUM(Запчасти!O2:O501)</f>
        <v>0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0"/>
    <col collapsed="false" customWidth="true" hidden="false" outlineLevel="0" max="26" min="3" style="0" width="8.71"/>
  </cols>
  <sheetData>
    <row r="1" customFormat="false" ht="98.5" hidden="false" customHeight="false" outlineLevel="0" collapsed="false">
      <c r="A1" s="28" t="s">
        <v>536</v>
      </c>
      <c r="B1" s="29" t="s">
        <v>537</v>
      </c>
    </row>
    <row r="2" customFormat="false" ht="15" hidden="false" customHeight="false" outlineLevel="0" collapsed="false">
      <c r="A2" s="29" t="s">
        <v>538</v>
      </c>
      <c r="B2" s="29" t="s">
        <v>539</v>
      </c>
    </row>
    <row r="3" customFormat="false" ht="15" hidden="false" customHeight="false" outlineLevel="0" collapsed="false">
      <c r="A3" s="29" t="s">
        <v>540</v>
      </c>
      <c r="B3" s="29" t="s">
        <v>541</v>
      </c>
    </row>
    <row r="4" customFormat="false" ht="15" hidden="false" customHeight="false" outlineLevel="0" collapsed="false">
      <c r="A4" s="29" t="s">
        <v>542</v>
      </c>
      <c r="B4" s="29" t="s">
        <v>543</v>
      </c>
    </row>
    <row r="5" customFormat="false" ht="15" hidden="false" customHeight="false" outlineLevel="0" collapsed="false">
      <c r="A5" s="29" t="s">
        <v>544</v>
      </c>
      <c r="B5" s="29" t="s">
        <v>545</v>
      </c>
    </row>
    <row r="6" customFormat="false" ht="15" hidden="false" customHeight="false" outlineLevel="0" collapsed="false">
      <c r="A6" s="29" t="s">
        <v>546</v>
      </c>
      <c r="B6" s="29" t="s">
        <v>547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2026-09-18T12:13:39Z</dcterms:created>
  <dc:creator>openpyxl</dc:creator>
  <dc:description/>
  <dc:language>en-US</dc:language>
  <cp:lastModifiedBy/>
  <dcterms:modified xsi:type="dcterms:W3CDTF">2026-09-18T12:13:40Z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